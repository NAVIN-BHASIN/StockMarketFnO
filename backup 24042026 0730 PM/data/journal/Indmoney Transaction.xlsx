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ACE72CA-5BB0-4F70-B003-3E7B235C4C31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Equity transactions report" sheetId="2" r:id="rId1"/>
    <sheet name="FNO transactions report" sheetId="3" r:id="rId2"/>
    <sheet name="FORMAT for Report Results" sheetId="4" r:id="rId3"/>
  </sheets>
  <calcPr calcId="191029"/>
</workbook>
</file>

<file path=xl/calcChain.xml><?xml version="1.0" encoding="utf-8"?>
<calcChain xmlns="http://schemas.openxmlformats.org/spreadsheetml/2006/main">
  <c r="AD38" i="4" l="1"/>
  <c r="AC38" i="4"/>
  <c r="AB38" i="4"/>
  <c r="Y38" i="4"/>
  <c r="W38" i="4"/>
  <c r="N38" i="4"/>
  <c r="X38" i="4" s="1"/>
  <c r="L38" i="4"/>
  <c r="I38" i="4"/>
  <c r="AD37" i="4"/>
  <c r="AC37" i="4"/>
  <c r="AB37" i="4"/>
  <c r="Y37" i="4"/>
  <c r="X37" i="4"/>
  <c r="W37" i="4"/>
  <c r="N37" i="4"/>
  <c r="O37" i="4" s="1"/>
  <c r="L37" i="4"/>
  <c r="I37" i="4"/>
  <c r="AD36" i="4"/>
  <c r="AC36" i="4"/>
  <c r="AB36" i="4"/>
  <c r="Y36" i="4"/>
  <c r="W36" i="4"/>
  <c r="N36" i="4"/>
  <c r="X36" i="4" s="1"/>
  <c r="L36" i="4"/>
  <c r="I36" i="4"/>
  <c r="AD35" i="4"/>
  <c r="AC35" i="4"/>
  <c r="AB35" i="4"/>
  <c r="Y35" i="4"/>
  <c r="W35" i="4"/>
  <c r="N35" i="4"/>
  <c r="X35" i="4" s="1"/>
  <c r="L35" i="4"/>
  <c r="I35" i="4"/>
  <c r="AD34" i="4"/>
  <c r="AC34" i="4"/>
  <c r="AB34" i="4"/>
  <c r="Y34" i="4"/>
  <c r="X34" i="4"/>
  <c r="W34" i="4"/>
  <c r="N34" i="4"/>
  <c r="O34" i="4" s="1"/>
  <c r="L34" i="4"/>
  <c r="I34" i="4"/>
  <c r="AD33" i="4"/>
  <c r="AC33" i="4"/>
  <c r="AB33" i="4"/>
  <c r="Y33" i="4"/>
  <c r="X33" i="4"/>
  <c r="W33" i="4"/>
  <c r="N33" i="4"/>
  <c r="O33" i="4" s="1"/>
  <c r="L33" i="4"/>
  <c r="I33" i="4"/>
  <c r="AD32" i="4"/>
  <c r="AC32" i="4"/>
  <c r="AB32" i="4"/>
  <c r="Y32" i="4"/>
  <c r="W32" i="4"/>
  <c r="O32" i="4"/>
  <c r="N32" i="4"/>
  <c r="X32" i="4" s="1"/>
  <c r="L32" i="4"/>
  <c r="I32" i="4"/>
  <c r="AD31" i="4"/>
  <c r="AC31" i="4"/>
  <c r="AB31" i="4"/>
  <c r="Y31" i="4"/>
  <c r="W31" i="4"/>
  <c r="N31" i="4"/>
  <c r="X31" i="4" s="1"/>
  <c r="L31" i="4"/>
  <c r="I31" i="4"/>
  <c r="AD30" i="4"/>
  <c r="AC30" i="4"/>
  <c r="AB30" i="4"/>
  <c r="AA30" i="4"/>
  <c r="Y30" i="4"/>
  <c r="X30" i="4"/>
  <c r="W30" i="4"/>
  <c r="T30" i="4"/>
  <c r="S30" i="4"/>
  <c r="R30" i="4"/>
  <c r="O30" i="4"/>
  <c r="N30" i="4"/>
  <c r="L30" i="4"/>
  <c r="I30" i="4"/>
  <c r="AD29" i="4"/>
  <c r="AC29" i="4"/>
  <c r="AB29" i="4"/>
  <c r="Y29" i="4"/>
  <c r="W29" i="4"/>
  <c r="N29" i="4"/>
  <c r="X29" i="4" s="1"/>
  <c r="L29" i="4"/>
  <c r="I29" i="4"/>
  <c r="AD28" i="4"/>
  <c r="AC28" i="4"/>
  <c r="AB28" i="4"/>
  <c r="Y28" i="4"/>
  <c r="W28" i="4"/>
  <c r="N28" i="4"/>
  <c r="L28" i="4"/>
  <c r="I28" i="4"/>
  <c r="AD27" i="4"/>
  <c r="AC27" i="4"/>
  <c r="AB27" i="4"/>
  <c r="Y27" i="4"/>
  <c r="X27" i="4"/>
  <c r="W27" i="4"/>
  <c r="N27" i="4"/>
  <c r="O27" i="4" s="1"/>
  <c r="L27" i="4"/>
  <c r="I27" i="4"/>
  <c r="W26" i="4"/>
  <c r="M26" i="4"/>
  <c r="N26" i="4" s="1"/>
  <c r="O26" i="4" s="1"/>
  <c r="J26" i="4"/>
  <c r="W25" i="4"/>
  <c r="N25" i="4"/>
  <c r="M25" i="4"/>
  <c r="J25" i="4"/>
  <c r="Y24" i="4"/>
  <c r="X24" i="4"/>
  <c r="W24" i="4"/>
  <c r="M24" i="4"/>
  <c r="N24" i="4" s="1"/>
  <c r="O24" i="4" s="1"/>
  <c r="J24" i="4"/>
  <c r="W23" i="4"/>
  <c r="M23" i="4"/>
  <c r="N23" i="4" s="1"/>
  <c r="J23" i="4"/>
  <c r="W22" i="4"/>
  <c r="O22" i="4"/>
  <c r="N22" i="4"/>
  <c r="M22" i="4"/>
  <c r="J22" i="4"/>
  <c r="W21" i="4"/>
  <c r="M21" i="4"/>
  <c r="N21" i="4" s="1"/>
  <c r="J21" i="4"/>
  <c r="W20" i="4"/>
  <c r="M20" i="4"/>
  <c r="N20" i="4" s="1"/>
  <c r="O20" i="4" s="1"/>
  <c r="J20" i="4"/>
  <c r="Y19" i="4"/>
  <c r="W19" i="4"/>
  <c r="N19" i="4"/>
  <c r="X19" i="4" s="1"/>
  <c r="M19" i="4"/>
  <c r="J19" i="4"/>
  <c r="X18" i="4"/>
  <c r="W18" i="4"/>
  <c r="M18" i="4"/>
  <c r="N18" i="4" s="1"/>
  <c r="O18" i="4" s="1"/>
  <c r="J18" i="4"/>
  <c r="W17" i="4"/>
  <c r="M17" i="4"/>
  <c r="N17" i="4" s="1"/>
  <c r="J17" i="4"/>
  <c r="W16" i="4"/>
  <c r="N16" i="4"/>
  <c r="M16" i="4"/>
  <c r="J16" i="4"/>
  <c r="X15" i="4"/>
  <c r="W15" i="4"/>
  <c r="N15" i="4"/>
  <c r="O15" i="4" s="1"/>
  <c r="M15" i="4"/>
  <c r="J15" i="4"/>
  <c r="W14" i="4"/>
  <c r="M14" i="4"/>
  <c r="N14" i="4" s="1"/>
  <c r="O14" i="4" s="1"/>
  <c r="J14" i="4"/>
  <c r="W13" i="4"/>
  <c r="M13" i="4"/>
  <c r="N13" i="4" s="1"/>
  <c r="J13" i="4"/>
  <c r="AD12" i="4"/>
  <c r="AC12" i="4"/>
  <c r="AB12" i="4"/>
  <c r="X12" i="4"/>
  <c r="W12" i="4"/>
  <c r="M12" i="4"/>
  <c r="N12" i="4" s="1"/>
  <c r="O12" i="4" s="1"/>
  <c r="J12" i="4"/>
  <c r="W11" i="4"/>
  <c r="M11" i="4"/>
  <c r="N11" i="4" s="1"/>
  <c r="J11" i="4"/>
  <c r="AD10" i="4"/>
  <c r="AC10" i="4"/>
  <c r="AB10" i="4"/>
  <c r="W10" i="4"/>
  <c r="M10" i="4"/>
  <c r="N10" i="4" s="1"/>
  <c r="J10" i="4"/>
  <c r="W9" i="4"/>
  <c r="M9" i="4"/>
  <c r="N9" i="4" s="1"/>
  <c r="J9" i="4"/>
  <c r="AD8" i="4"/>
  <c r="AC8" i="4"/>
  <c r="AB8" i="4"/>
  <c r="W8" i="4"/>
  <c r="M8" i="4"/>
  <c r="N8" i="4" s="1"/>
  <c r="O8" i="4" s="1"/>
  <c r="J8" i="4"/>
  <c r="AD7" i="4"/>
  <c r="AC7" i="4"/>
  <c r="AB7" i="4"/>
  <c r="W7" i="4"/>
  <c r="M7" i="4"/>
  <c r="N7" i="4" s="1"/>
  <c r="J7" i="4"/>
  <c r="AD6" i="4"/>
  <c r="AC6" i="4"/>
  <c r="AB6" i="4"/>
  <c r="W6" i="4"/>
  <c r="M6" i="4"/>
  <c r="N6" i="4" s="1"/>
  <c r="O6" i="4" s="1"/>
  <c r="J6" i="4"/>
  <c r="AD5" i="4"/>
  <c r="AC5" i="4"/>
  <c r="AB5" i="4"/>
  <c r="W5" i="4"/>
  <c r="M5" i="4"/>
  <c r="N5" i="4" s="1"/>
  <c r="J5" i="4"/>
  <c r="Y4" i="4"/>
  <c r="W4" i="4"/>
  <c r="M4" i="4"/>
  <c r="J4" i="4"/>
  <c r="Y3" i="4"/>
  <c r="W3" i="4"/>
  <c r="M3" i="4"/>
  <c r="J3" i="4"/>
  <c r="X23" i="4" l="1"/>
  <c r="O23" i="4"/>
  <c r="X13" i="4"/>
  <c r="O13" i="4"/>
  <c r="X11" i="4"/>
  <c r="O11" i="4"/>
  <c r="X7" i="4"/>
  <c r="O7" i="4"/>
  <c r="X17" i="4"/>
  <c r="O17" i="4"/>
  <c r="O5" i="4"/>
  <c r="X5" i="4"/>
  <c r="X20" i="4"/>
  <c r="X14" i="4"/>
  <c r="O29" i="4"/>
  <c r="N4" i="4"/>
  <c r="O9" i="4"/>
  <c r="X9" i="4"/>
  <c r="O21" i="4"/>
  <c r="X21" i="4"/>
  <c r="X22" i="4"/>
  <c r="O36" i="4"/>
  <c r="Y16" i="4"/>
  <c r="X16" i="4"/>
  <c r="X25" i="4"/>
  <c r="O25" i="4"/>
  <c r="O16" i="4"/>
  <c r="O19" i="4"/>
  <c r="N3" i="4"/>
  <c r="X26" i="4"/>
  <c r="X8" i="4"/>
  <c r="X10" i="4"/>
  <c r="O10" i="4"/>
  <c r="O38" i="4"/>
  <c r="X6" i="4"/>
  <c r="O35" i="4"/>
  <c r="X28" i="4"/>
  <c r="O28" i="4"/>
  <c r="O31" i="4"/>
  <c r="O3" i="4" l="1"/>
  <c r="X3" i="4"/>
  <c r="X4" i="4"/>
  <c r="O4" i="4"/>
  <c r="J750" i="3" l="1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Y12" i="4" l="1"/>
  <c r="R12" i="4"/>
  <c r="AB19" i="4"/>
  <c r="AC19" i="4"/>
  <c r="AB16" i="4"/>
  <c r="AC16" i="4"/>
  <c r="Y23" i="4"/>
  <c r="R23" i="4"/>
  <c r="Y18" i="4"/>
  <c r="R18" i="4"/>
  <c r="Y11" i="4"/>
  <c r="R11" i="4"/>
  <c r="Y22" i="4"/>
  <c r="R22" i="4"/>
  <c r="AB21" i="4"/>
  <c r="AC21" i="4"/>
  <c r="Y13" i="4"/>
  <c r="R13" i="4"/>
  <c r="AB14" i="4"/>
  <c r="AC14" i="4"/>
  <c r="AB26" i="4"/>
  <c r="AC26" i="4"/>
  <c r="Y17" i="4"/>
  <c r="R17" i="4"/>
  <c r="AB17" i="4"/>
  <c r="AC17" i="4"/>
  <c r="AB15" i="4"/>
  <c r="AC15" i="4"/>
  <c r="AB24" i="4"/>
  <c r="AC24" i="4"/>
  <c r="AB23" i="4"/>
  <c r="AC23" i="4"/>
  <c r="AB20" i="4"/>
  <c r="AC20" i="4"/>
  <c r="Y7" i="4"/>
  <c r="R7" i="4"/>
  <c r="AB13" i="4"/>
  <c r="AC13" i="4"/>
  <c r="Y10" i="4"/>
  <c r="R10" i="4"/>
  <c r="AB9" i="4"/>
  <c r="AC9" i="4"/>
  <c r="Y21" i="4"/>
  <c r="R21" i="4"/>
  <c r="AB18" i="4"/>
  <c r="AC18" i="4"/>
  <c r="AB25" i="4"/>
  <c r="AC25" i="4"/>
  <c r="AB22" i="4"/>
  <c r="AC22" i="4"/>
  <c r="Y5" i="4"/>
  <c r="R5" i="4"/>
  <c r="AB4" i="4"/>
  <c r="AC4" i="4"/>
  <c r="Y26" i="4"/>
  <c r="R26" i="4"/>
  <c r="Y14" i="4"/>
  <c r="R14" i="4"/>
  <c r="Y20" i="4"/>
  <c r="R20" i="4"/>
  <c r="Y9" i="4"/>
  <c r="R9" i="4"/>
  <c r="AB11" i="4"/>
  <c r="AC11" i="4"/>
  <c r="Y15" i="4"/>
  <c r="R15" i="4"/>
  <c r="Y25" i="4"/>
  <c r="R25" i="4"/>
  <c r="Y8" i="4"/>
  <c r="R8" i="4"/>
  <c r="Y6" i="4"/>
  <c r="R6" i="4"/>
  <c r="T20" i="4"/>
  <c r="V33" i="4"/>
  <c r="V19" i="4"/>
  <c r="T4" i="4"/>
  <c r="V14" i="4"/>
  <c r="V34" i="4"/>
  <c r="T9" i="4"/>
  <c r="T19" i="4"/>
  <c r="T6" i="4"/>
  <c r="T10" i="4"/>
  <c r="V36" i="4"/>
  <c r="T23" i="4"/>
  <c r="V4" i="4"/>
  <c r="T27" i="4"/>
  <c r="V29" i="4"/>
  <c r="V12" i="4"/>
  <c r="T35" i="4"/>
  <c r="T8" i="4"/>
  <c r="T11" i="4"/>
  <c r="V24" i="4"/>
  <c r="V17" i="4"/>
  <c r="V9" i="4"/>
  <c r="V26" i="4"/>
  <c r="T38" i="4"/>
  <c r="T26" i="4"/>
  <c r="T17" i="4"/>
  <c r="T7" i="4"/>
  <c r="T34" i="4"/>
  <c r="V10" i="4"/>
  <c r="T37" i="4"/>
  <c r="T14" i="4"/>
  <c r="V25" i="4"/>
  <c r="T5" i="4"/>
  <c r="T31" i="4"/>
  <c r="V3" i="4"/>
  <c r="V23" i="4"/>
  <c r="T21" i="4"/>
  <c r="V18" i="4"/>
  <c r="V37" i="4"/>
  <c r="T32" i="4"/>
  <c r="V11" i="4"/>
  <c r="T33" i="4"/>
  <c r="V21" i="4"/>
  <c r="V30" i="4"/>
  <c r="V13" i="4"/>
  <c r="T12" i="4"/>
  <c r="T13" i="4"/>
  <c r="T24" i="4"/>
  <c r="V35" i="4"/>
  <c r="V15" i="4"/>
  <c r="V6" i="4"/>
  <c r="T36" i="4"/>
  <c r="T28" i="4"/>
  <c r="T15" i="4"/>
  <c r="T22" i="4"/>
  <c r="V22" i="4"/>
  <c r="V32" i="4"/>
  <c r="T29" i="4"/>
  <c r="V38" i="4"/>
  <c r="V8" i="4"/>
  <c r="T25" i="4"/>
  <c r="V27" i="4"/>
  <c r="V28" i="4"/>
  <c r="V5" i="4"/>
  <c r="V31" i="4"/>
  <c r="V20" i="4"/>
  <c r="T18" i="4"/>
  <c r="T3" i="4"/>
  <c r="V7" i="4"/>
  <c r="S26" i="4"/>
  <c r="S7" i="4"/>
  <c r="S10" i="4"/>
  <c r="S22" i="4"/>
  <c r="S24" i="4"/>
  <c r="S15" i="4"/>
  <c r="S20" i="4"/>
  <c r="S5" i="4"/>
  <c r="S37" i="4"/>
  <c r="S13" i="4"/>
  <c r="S33" i="4"/>
  <c r="S36" i="4"/>
  <c r="S32" i="4"/>
  <c r="S11" i="4"/>
  <c r="S12" i="4"/>
  <c r="S18" i="4"/>
  <c r="S23" i="4"/>
  <c r="S28" i="4"/>
  <c r="S35" i="4"/>
  <c r="S17" i="4"/>
  <c r="S29" i="4"/>
  <c r="S6" i="4"/>
  <c r="S9" i="4"/>
  <c r="S19" i="4"/>
  <c r="S8" i="4"/>
  <c r="S14" i="4"/>
  <c r="S25" i="4"/>
  <c r="S34" i="4"/>
  <c r="S31" i="4"/>
  <c r="S4" i="4"/>
  <c r="S38" i="4"/>
  <c r="S27" i="4"/>
  <c r="S3" i="4"/>
  <c r="S21" i="4"/>
  <c r="AA12" i="4"/>
  <c r="AA21" i="4"/>
  <c r="AA8" i="4"/>
  <c r="AA18" i="4"/>
  <c r="AA29" i="4"/>
  <c r="AA37" i="4"/>
  <c r="AA34" i="4"/>
  <c r="AA33" i="4"/>
  <c r="AA15" i="4"/>
  <c r="AA10" i="4"/>
  <c r="AA16" i="4"/>
  <c r="AA32" i="4"/>
  <c r="AA20" i="4"/>
  <c r="AA17" i="4"/>
  <c r="AA23" i="4"/>
  <c r="AA25" i="4"/>
  <c r="AA5" i="4"/>
  <c r="AA27" i="4"/>
  <c r="AA4" i="4"/>
  <c r="AA19" i="4"/>
  <c r="AA13" i="4"/>
  <c r="AA28" i="4"/>
  <c r="AA24" i="4"/>
  <c r="AA22" i="4"/>
  <c r="AA31" i="4"/>
  <c r="AA14" i="4"/>
  <c r="AA6" i="4"/>
  <c r="AA7" i="4"/>
  <c r="AA26" i="4"/>
  <c r="AA35" i="4"/>
  <c r="AA38" i="4"/>
  <c r="AA36" i="4"/>
  <c r="AA11" i="4"/>
  <c r="AA3" i="4"/>
  <c r="AA9" i="4"/>
  <c r="AD25" i="4"/>
  <c r="AD20" i="4"/>
  <c r="AD13" i="4"/>
  <c r="AD26" i="4"/>
  <c r="AD15" i="4"/>
  <c r="AD18" i="4"/>
  <c r="AD23" i="4"/>
  <c r="AD16" i="4"/>
  <c r="AD11" i="4"/>
  <c r="AD4" i="4"/>
  <c r="AD21" i="4"/>
  <c r="AD14" i="4"/>
  <c r="AD19" i="4"/>
  <c r="AD24" i="4"/>
  <c r="AD17" i="4"/>
  <c r="AD9" i="4"/>
  <c r="AD3" i="4"/>
  <c r="AD22" i="4"/>
  <c r="R33" i="4"/>
  <c r="R35" i="4"/>
  <c r="R31" i="4"/>
  <c r="R27" i="4"/>
  <c r="R32" i="4"/>
  <c r="R37" i="4"/>
  <c r="R36" i="4"/>
  <c r="R28" i="4"/>
  <c r="R4" i="4"/>
  <c r="R38" i="4"/>
  <c r="R34" i="4"/>
  <c r="R24" i="4"/>
  <c r="R29" i="4"/>
  <c r="R3" i="4"/>
  <c r="R19" i="4"/>
  <c r="AC3" i="4"/>
  <c r="AB3" i="4"/>
</calcChain>
</file>

<file path=xl/sharedStrings.xml><?xml version="1.0" encoding="utf-8"?>
<sst xmlns="http://schemas.openxmlformats.org/spreadsheetml/2006/main" count="4810" uniqueCount="1523">
  <si>
    <t>Equity transactions report for the period: 01-04-2025 to 31-03-2026</t>
  </si>
  <si>
    <t>Name</t>
  </si>
  <si>
    <t>NAVIN  BHASIN</t>
  </si>
  <si>
    <t>Unique client code</t>
  </si>
  <si>
    <t>9713R4P3YJ</t>
  </si>
  <si>
    <t>PAN</t>
  </si>
  <si>
    <t>AGVPB7158F</t>
  </si>
  <si>
    <t>Execution Date</t>
  </si>
  <si>
    <t>Scrip Name</t>
  </si>
  <si>
    <t>Scrip Symbol</t>
  </si>
  <si>
    <t>ISIN</t>
  </si>
  <si>
    <t>Type</t>
  </si>
  <si>
    <t>Quantity</t>
  </si>
  <si>
    <t>Price</t>
  </si>
  <si>
    <t>Exchange</t>
  </si>
  <si>
    <t>Exchange Order Id</t>
  </si>
  <si>
    <t>Order Status</t>
  </si>
  <si>
    <t>Bharat Electronics Ltd</t>
  </si>
  <si>
    <t>BEL</t>
  </si>
  <si>
    <t>INE263A01024</t>
  </si>
  <si>
    <t>SELL</t>
  </si>
  <si>
    <t>NSE</t>
  </si>
  <si>
    <t>1000000057186624</t>
  </si>
  <si>
    <t>Executed</t>
  </si>
  <si>
    <t>NMDC Steel Ltd</t>
  </si>
  <si>
    <t>INE0NNS01018</t>
  </si>
  <si>
    <t>BUY</t>
  </si>
  <si>
    <t>1200000022504376</t>
  </si>
  <si>
    <t>1200000024649492</t>
  </si>
  <si>
    <t>RBL Bank Ltd</t>
  </si>
  <si>
    <t>RBLBANK</t>
  </si>
  <si>
    <t>INE976G01028</t>
  </si>
  <si>
    <t>BSE</t>
  </si>
  <si>
    <t>1752831100161702038</t>
  </si>
  <si>
    <t>1200000070125102</t>
  </si>
  <si>
    <t>Ujjivan Small Finance Bank Ltd</t>
  </si>
  <si>
    <t>UJJIVANSFB</t>
  </si>
  <si>
    <t>INE551W01018</t>
  </si>
  <si>
    <t>1300000064964016</t>
  </si>
  <si>
    <t>Adani Energy Solutions Ltd</t>
  </si>
  <si>
    <t>ADANIENSOL</t>
  </si>
  <si>
    <t>INE931S01010</t>
  </si>
  <si>
    <t>1000000020624985</t>
  </si>
  <si>
    <t>1000000005057891</t>
  </si>
  <si>
    <t>1000000025448395</t>
  </si>
  <si>
    <t>Indian Energy Exchange Ltd</t>
  </si>
  <si>
    <t>IEX</t>
  </si>
  <si>
    <t>INE022Q01020</t>
  </si>
  <si>
    <t>1100000029368276</t>
  </si>
  <si>
    <t>FNO transactions report for the period: 01-04-2025 to 31-03-2026</t>
  </si>
  <si>
    <t>TRENT 29 May ₹6000 Call</t>
  </si>
  <si>
    <t>TRENT25MAY6000CE</t>
  </si>
  <si>
    <t>2600000193514176</t>
  </si>
  <si>
    <t>BEL 29 May ₹330 Call</t>
  </si>
  <si>
    <t>BEL25MAY330CE</t>
  </si>
  <si>
    <t>2400000010922349</t>
  </si>
  <si>
    <t>NIFTY 15 May ₹24600 Call</t>
  </si>
  <si>
    <t>NIFTY2551524600CE</t>
  </si>
  <si>
    <t>1200000098062320</t>
  </si>
  <si>
    <t>1200000106949958</t>
  </si>
  <si>
    <t>NIFTY 15 May ₹24500 Call</t>
  </si>
  <si>
    <t>NIFTY2551524500CE</t>
  </si>
  <si>
    <t>1000000108300947</t>
  </si>
  <si>
    <t>1000000000082960</t>
  </si>
  <si>
    <t>2400000042634582</t>
  </si>
  <si>
    <t>BHARATFORG 29 May ₹1160 Call</t>
  </si>
  <si>
    <t>BHARATFORG25MAY1160CE</t>
  </si>
  <si>
    <t>2400000071562388</t>
  </si>
  <si>
    <t>2400000078965387</t>
  </si>
  <si>
    <t>2400000099589557</t>
  </si>
  <si>
    <t>2400000134046960</t>
  </si>
  <si>
    <t>NIFTY 22 May ₹25000 Call</t>
  </si>
  <si>
    <t>NIFTY2552225000CE</t>
  </si>
  <si>
    <t>1300000138624569</t>
  </si>
  <si>
    <t>1300000221737100</t>
  </si>
  <si>
    <t>2600000105804057</t>
  </si>
  <si>
    <t>HAL 26 Jun ₹5200 Call</t>
  </si>
  <si>
    <t>HAL25JUN5200CE</t>
  </si>
  <si>
    <t>2200000085385370</t>
  </si>
  <si>
    <t>GODREJPROP 26 Jun ₹2250 Call</t>
  </si>
  <si>
    <t>GODREJPROP256262250CE</t>
  </si>
  <si>
    <t>2100000129726638</t>
  </si>
  <si>
    <t>2100000108981947</t>
  </si>
  <si>
    <t>NIFTY 05 Jun ₹24850 Call</t>
  </si>
  <si>
    <t>NIFTY2560524850CE</t>
  </si>
  <si>
    <t>1000000157682964</t>
  </si>
  <si>
    <t>1000000177445249</t>
  </si>
  <si>
    <t>1000000021316858</t>
  </si>
  <si>
    <t>1000000058890189</t>
  </si>
  <si>
    <t>NIFTY 05 Jun ₹24750 Call</t>
  </si>
  <si>
    <t>NIFTY2560524750CE</t>
  </si>
  <si>
    <t>1500000061893545</t>
  </si>
  <si>
    <t>1500000061893554</t>
  </si>
  <si>
    <t>1500000138234426</t>
  </si>
  <si>
    <t>1500000147215813</t>
  </si>
  <si>
    <t>CDSL 26 Jun ₹1700 Call</t>
  </si>
  <si>
    <t>CDSL256261700CE</t>
  </si>
  <si>
    <t>2200000091808864</t>
  </si>
  <si>
    <t>2200000024226541</t>
  </si>
  <si>
    <t>2100000022103169</t>
  </si>
  <si>
    <t>2100000039852621</t>
  </si>
  <si>
    <t>NIFTY 12 Jun ₹25000 Call</t>
  </si>
  <si>
    <t>NIFTY2561225000CE</t>
  </si>
  <si>
    <t>1300000140929551</t>
  </si>
  <si>
    <t>1300000182117816</t>
  </si>
  <si>
    <t>COFORGE 26 Jun ₹1800 Call</t>
  </si>
  <si>
    <t>COFORGE25JUN1800CE</t>
  </si>
  <si>
    <t>2200000082844642</t>
  </si>
  <si>
    <t>CDSL 26 Jun ₹1800 Call</t>
  </si>
  <si>
    <t>CDSL256261800CE</t>
  </si>
  <si>
    <t>2200000063308319</t>
  </si>
  <si>
    <t>2200000189437829</t>
  </si>
  <si>
    <t>2200000022977733</t>
  </si>
  <si>
    <t>NIFTY 19 Jun ₹25500 Call</t>
  </si>
  <si>
    <t>NIFTY2561925500CE</t>
  </si>
  <si>
    <t>1600000128655271</t>
  </si>
  <si>
    <t>BHEL 26 Jun ₹265 Call</t>
  </si>
  <si>
    <t>BHEL25JUN265CE</t>
  </si>
  <si>
    <t>2400000144888597</t>
  </si>
  <si>
    <t>2200000076806676</t>
  </si>
  <si>
    <t>FEDERALBNK 26 Jun ₹207.5 Call</t>
  </si>
  <si>
    <t>FEDERALBNK25JUN207.5CE</t>
  </si>
  <si>
    <t>2700000098479561</t>
  </si>
  <si>
    <t>2700000105011491</t>
  </si>
  <si>
    <t>BDL 26 Jun ₹1950 Call</t>
  </si>
  <si>
    <t>BDL25JUN1950CE</t>
  </si>
  <si>
    <t>2400000109275551</t>
  </si>
  <si>
    <t>2400000031406120</t>
  </si>
  <si>
    <t>1600000097915445</t>
  </si>
  <si>
    <t>LTIM 26 Jun ₹5400 Call</t>
  </si>
  <si>
    <t>LTIM25JUN5400CE</t>
  </si>
  <si>
    <t>2100000087071458</t>
  </si>
  <si>
    <t>2100000092116150</t>
  </si>
  <si>
    <t>2400000193604541</t>
  </si>
  <si>
    <t>NIFTY 03 Jul ₹25400 Call</t>
  </si>
  <si>
    <t>NIFTY2570325400CE</t>
  </si>
  <si>
    <t>1400000113079353</t>
  </si>
  <si>
    <t>1400000141870531</t>
  </si>
  <si>
    <t>NIFTY 26 Jun ₹25200 Call</t>
  </si>
  <si>
    <t>NIFTY25JUN25200CE</t>
  </si>
  <si>
    <t>1000000179027055</t>
  </si>
  <si>
    <t>1000000232477306</t>
  </si>
  <si>
    <t>TATAMOTORS 28 Aug ₹650 Call</t>
  </si>
  <si>
    <t>TATAMOTORS25AUG650CE</t>
  </si>
  <si>
    <t>2600000190051667</t>
  </si>
  <si>
    <t>2600000193496896</t>
  </si>
  <si>
    <t>CUMMINSIND 28 Aug ₹3700 Call</t>
  </si>
  <si>
    <t>CUMMINSIND25AUG3700CE</t>
  </si>
  <si>
    <t>2200000006955580</t>
  </si>
  <si>
    <t>2200000029507596</t>
  </si>
  <si>
    <t>2600000039956416</t>
  </si>
  <si>
    <t>2600000085093086</t>
  </si>
  <si>
    <t>TRENT 28 Aug ₹5400 Call</t>
  </si>
  <si>
    <t>TRENT25AUG5400CE</t>
  </si>
  <si>
    <t>2600000092469268</t>
  </si>
  <si>
    <t>2600000112894165</t>
  </si>
  <si>
    <t>DIXON 28 Aug ₹16500 Call</t>
  </si>
  <si>
    <t>DIXON25AUG16500CE</t>
  </si>
  <si>
    <t>2300000131369111</t>
  </si>
  <si>
    <t>2300000155152840</t>
  </si>
  <si>
    <t>CUMMINSIND 28 Aug ₹3800 Call</t>
  </si>
  <si>
    <t>CUMMINSIND25AUG3800CE</t>
  </si>
  <si>
    <t>2200000005408151</t>
  </si>
  <si>
    <t>NIFTY 14 Aug ₹24600 Call</t>
  </si>
  <si>
    <t>NIFTY2581424600CE</t>
  </si>
  <si>
    <t>1200000054505068</t>
  </si>
  <si>
    <t>2200000049353488</t>
  </si>
  <si>
    <t>RELIANCE 28 Aug ₹1400 Call</t>
  </si>
  <si>
    <t>RELIANCE25AUG1400CE</t>
  </si>
  <si>
    <t>2500000069653333</t>
  </si>
  <si>
    <t>1200000106546404</t>
  </si>
  <si>
    <t>NIFTY 21 Aug ₹24900 Call</t>
  </si>
  <si>
    <t>NIFTY2582124900CE</t>
  </si>
  <si>
    <t>1100000140378637</t>
  </si>
  <si>
    <t>APOLLOHOSP 28 Aug ₹7800 Call</t>
  </si>
  <si>
    <t>APOLLOHOSP25AUG7800CE</t>
  </si>
  <si>
    <t>2500000016915976</t>
  </si>
  <si>
    <t>1100000125327341</t>
  </si>
  <si>
    <t>NIFTY 21 Aug ₹24700 Call</t>
  </si>
  <si>
    <t>NIFTY2582124700CE</t>
  </si>
  <si>
    <t>1400000119522916</t>
  </si>
  <si>
    <t>1400000119611931</t>
  </si>
  <si>
    <t>1400000126289294</t>
  </si>
  <si>
    <t>2500000117500479</t>
  </si>
  <si>
    <t>NIFTY 21 Aug ₹24850 Call</t>
  </si>
  <si>
    <t>NIFTY2582124850CE</t>
  </si>
  <si>
    <t>1000000149834108</t>
  </si>
  <si>
    <t>GLENMARK 28 Aug ₹2060 Call</t>
  </si>
  <si>
    <t>GLENMARK25AUG2060CE</t>
  </si>
  <si>
    <t>2100000131227472</t>
  </si>
  <si>
    <t>APOLLOHOSP 28 Aug ₹8000 Call</t>
  </si>
  <si>
    <t>APOLLOHOSP25AUG8000CE</t>
  </si>
  <si>
    <t>2500000157633091</t>
  </si>
  <si>
    <t>2500000162422259</t>
  </si>
  <si>
    <t>APOLLOHOSP 28 Aug ₹8100 Call</t>
  </si>
  <si>
    <t>APOLLOHOSP25AUG8100CE</t>
  </si>
  <si>
    <t>2500000168503944</t>
  </si>
  <si>
    <t>2500000072479217</t>
  </si>
  <si>
    <t>1000000127869767</t>
  </si>
  <si>
    <t>1000000127996395</t>
  </si>
  <si>
    <t>1000000128027712</t>
  </si>
  <si>
    <t>1000000158490750</t>
  </si>
  <si>
    <t>1000000165898144</t>
  </si>
  <si>
    <t>2100000141294642</t>
  </si>
  <si>
    <t>KAYNES 28 Aug ₹6300 Call</t>
  </si>
  <si>
    <t>KAYNES25AUG6300CE</t>
  </si>
  <si>
    <t>2400000000089956</t>
  </si>
  <si>
    <t>RELIANCE 30 Sep ₹1380 Call</t>
  </si>
  <si>
    <t>RELIANCE25SEP1380CE</t>
  </si>
  <si>
    <t>2500000003551871</t>
  </si>
  <si>
    <t>MANAPPURAM 28 Aug Fut</t>
  </si>
  <si>
    <t>MANAPPURAM25AUGFUT</t>
  </si>
  <si>
    <t>2700000013347502</t>
  </si>
  <si>
    <t>2500000031920990</t>
  </si>
  <si>
    <t>2400000041047391</t>
  </si>
  <si>
    <t>2700000047269936</t>
  </si>
  <si>
    <t>INFY 30 Sep Fut</t>
  </si>
  <si>
    <t>INFY25SEPFUT</t>
  </si>
  <si>
    <t>2700000066331051</t>
  </si>
  <si>
    <t>BOSCHLTD 28 Aug Fut</t>
  </si>
  <si>
    <t>BOSCHLTD25AUGFUT</t>
  </si>
  <si>
    <t>2400000055820973</t>
  </si>
  <si>
    <t>2700000162914876</t>
  </si>
  <si>
    <t>INFY 28 Aug ₹1500 Call</t>
  </si>
  <si>
    <t>INFY25AUG1500CE</t>
  </si>
  <si>
    <t>2700000164535943</t>
  </si>
  <si>
    <t>NIFTY 28 Aug ₹25200 Call</t>
  </si>
  <si>
    <t>NIFTY25AUG25200CE</t>
  </si>
  <si>
    <t>1000000165540789</t>
  </si>
  <si>
    <t>1000000165660032</t>
  </si>
  <si>
    <t>1000000065027296</t>
  </si>
  <si>
    <t>RELIANCE 30 Sep Fut</t>
  </si>
  <si>
    <t>RELIANCE25SEPFUT</t>
  </si>
  <si>
    <t>2500000065459297</t>
  </si>
  <si>
    <t>2400000085302461</t>
  </si>
  <si>
    <t>NIFTY 28 Aug ₹24900 Put</t>
  </si>
  <si>
    <t>NIFTY25AUG24900PE</t>
  </si>
  <si>
    <t>1100000128592691</t>
  </si>
  <si>
    <t>1100000143099964</t>
  </si>
  <si>
    <t>NIFTY 28 Aug ₹24800 Put</t>
  </si>
  <si>
    <t>NIFTY25AUG24800PE</t>
  </si>
  <si>
    <t>1600000135841893</t>
  </si>
  <si>
    <t>1600000000043486</t>
  </si>
  <si>
    <t>2500000004512355</t>
  </si>
  <si>
    <t>2700000017124169</t>
  </si>
  <si>
    <t>2700000023804907</t>
  </si>
  <si>
    <t>TITAN 30 Sep Fut</t>
  </si>
  <si>
    <t>TITAN25SEPFUT</t>
  </si>
  <si>
    <t>2600000000301077</t>
  </si>
  <si>
    <t>2700000005364037</t>
  </si>
  <si>
    <t>MARUTI 30 Sep ₹14500 Call</t>
  </si>
  <si>
    <t>MARUTI25SEP14500CE</t>
  </si>
  <si>
    <t>2700000014168057</t>
  </si>
  <si>
    <t>2700000086732067</t>
  </si>
  <si>
    <t>MARUTI 30 Sep ₹14800 Call</t>
  </si>
  <si>
    <t>MARUTI25SEP14800CE</t>
  </si>
  <si>
    <t>2700000142881723</t>
  </si>
  <si>
    <t>NIFTY 09 Sep ₹24300 Put</t>
  </si>
  <si>
    <t>NIFTY2590924300PE</t>
  </si>
  <si>
    <t>1300000015139332</t>
  </si>
  <si>
    <t>UPL 30 Sep ₹730 Call</t>
  </si>
  <si>
    <t>UPL25SEP730CE</t>
  </si>
  <si>
    <t>2600000024484343</t>
  </si>
  <si>
    <t>2600000034853304</t>
  </si>
  <si>
    <t>2600000043004540</t>
  </si>
  <si>
    <t>CIPLA 30 Sep ₹1600 Call</t>
  </si>
  <si>
    <t>CIPLA25SEP1600CE</t>
  </si>
  <si>
    <t>2200000055238072</t>
  </si>
  <si>
    <t>2600000077834664</t>
  </si>
  <si>
    <t>2700000117653106</t>
  </si>
  <si>
    <t>2600000087542338</t>
  </si>
  <si>
    <t>2600000089849195</t>
  </si>
  <si>
    <t>NYKAA 30 Sep ₹232.5 Call</t>
  </si>
  <si>
    <t>NYKAA25SEP232.5CE</t>
  </si>
  <si>
    <t>2600000125933250</t>
  </si>
  <si>
    <t>TRENT 30 Sep Fut</t>
  </si>
  <si>
    <t>TRENT25SEPFUT</t>
  </si>
  <si>
    <t>2600000046895931</t>
  </si>
  <si>
    <t>2200000128865916</t>
  </si>
  <si>
    <t>1300000198375436</t>
  </si>
  <si>
    <t>CGPOWER 30 Sep ₹710 Call</t>
  </si>
  <si>
    <t>CGPOWER25SEP710CE</t>
  </si>
  <si>
    <t>2200000006472751</t>
  </si>
  <si>
    <t>2200000055412500</t>
  </si>
  <si>
    <t>2600000119852599</t>
  </si>
  <si>
    <t>RELIANCE 30 Sep ₹1370 Call</t>
  </si>
  <si>
    <t>RELIANCE25SEP1370CE</t>
  </si>
  <si>
    <t>2500000002801303</t>
  </si>
  <si>
    <t>CGPOWER 30 Sep ₹730 Call</t>
  </si>
  <si>
    <t>CGPOWER25SEP730CE</t>
  </si>
  <si>
    <t>2200000025726704</t>
  </si>
  <si>
    <t>2500000033751335</t>
  </si>
  <si>
    <t>2200000047723662</t>
  </si>
  <si>
    <t>MUTHOOTFIN 30 Sep ₹2750 Call</t>
  </si>
  <si>
    <t>MUTHOOTFIN25SEP2750CE</t>
  </si>
  <si>
    <t>2700000098292484</t>
  </si>
  <si>
    <t>BHARTIARTL 30 Sep ₹1900 Call</t>
  </si>
  <si>
    <t>BHARTIARTL25SEP1900CE</t>
  </si>
  <si>
    <t>2400000142946791</t>
  </si>
  <si>
    <t>2400000169690789</t>
  </si>
  <si>
    <t>GLENMARK 30 Sep ₹1940 Call</t>
  </si>
  <si>
    <t>GLENMARK25SEP1940CE</t>
  </si>
  <si>
    <t>2100000005401829</t>
  </si>
  <si>
    <t>2700000039486396</t>
  </si>
  <si>
    <t>GLENMARK 30 Sep ₹2000 Call</t>
  </si>
  <si>
    <t>GLENMARK25SEP2000CE</t>
  </si>
  <si>
    <t>2100000049372396</t>
  </si>
  <si>
    <t>2600000064672506</t>
  </si>
  <si>
    <t>2100000099720249</t>
  </si>
  <si>
    <t>TATAMOTORS 30 Sep ₹710 Call</t>
  </si>
  <si>
    <t>TATAMOTORS25SEP710CE</t>
  </si>
  <si>
    <t>2600000001023634</t>
  </si>
  <si>
    <t>PATANJALI 30 Sep ₹1840 Call</t>
  </si>
  <si>
    <t>PATANJALI25SEP1840CE</t>
  </si>
  <si>
    <t>2300000010388943</t>
  </si>
  <si>
    <t>NIFTY 09 Sep ₹24900 Call</t>
  </si>
  <si>
    <t>NIFTY2590924900CE</t>
  </si>
  <si>
    <t>1100000014965290</t>
  </si>
  <si>
    <t>NIFTY 16 Sep ₹25200 Call</t>
  </si>
  <si>
    <t>NIFTY2591625200CE</t>
  </si>
  <si>
    <t>1000000053888411</t>
  </si>
  <si>
    <t>MARUTI 30 Sep ₹15000 Call</t>
  </si>
  <si>
    <t>MARUTI25SEP15000CE</t>
  </si>
  <si>
    <t>2700000059990615</t>
  </si>
  <si>
    <t>GODREJCP 30 Sep Fut</t>
  </si>
  <si>
    <t>GODREJCP25SEPFUT</t>
  </si>
  <si>
    <t>2100000062633641</t>
  </si>
  <si>
    <t>BRITANNIA 30 Sep ₹6100 Call</t>
  </si>
  <si>
    <t>BRITANNIA25SEP6100CE</t>
  </si>
  <si>
    <t>2400000006450276</t>
  </si>
  <si>
    <t>ZYDUSLIFE 30 Sep ₹1030 Call</t>
  </si>
  <si>
    <t>ZYDUSLIFE25SEP1030CE</t>
  </si>
  <si>
    <t>2300000012664172</t>
  </si>
  <si>
    <t>2100000022175149</t>
  </si>
  <si>
    <t>2300000030693416</t>
  </si>
  <si>
    <t>NIFTY 09 Sep ₹24700 Call</t>
  </si>
  <si>
    <t>NIFTY2590924700CE</t>
  </si>
  <si>
    <t>1400000052705497</t>
  </si>
  <si>
    <t>BAJAJ-AUTO 30 Sep ₹9100 Call</t>
  </si>
  <si>
    <t>BAJAJ-AUTO25SEP9100CE</t>
  </si>
  <si>
    <t>2400000058352799</t>
  </si>
  <si>
    <t>ZYDUSLIFE 30 Sep ₹1020 Call</t>
  </si>
  <si>
    <t>ZYDUSLIFE25SEP1020CE</t>
  </si>
  <si>
    <t>2300000064125639</t>
  </si>
  <si>
    <t>1400000191859543</t>
  </si>
  <si>
    <t>2400000168686396</t>
  </si>
  <si>
    <t>2600000058046645</t>
  </si>
  <si>
    <t>2400000088049471</t>
  </si>
  <si>
    <t>2700000129876374</t>
  </si>
  <si>
    <t>TATAMOTORS 30 Sep ₹730 Call</t>
  </si>
  <si>
    <t>TATAMOTORS25SEP730CE</t>
  </si>
  <si>
    <t>2600000155750474</t>
  </si>
  <si>
    <t>INFY 30 Sep ₹1480 Call</t>
  </si>
  <si>
    <t>INFY25SEP1480CE</t>
  </si>
  <si>
    <t>2700000002686204</t>
  </si>
  <si>
    <t>TRENT 30 Sep ₹5400 Call</t>
  </si>
  <si>
    <t>TRENT25SEP5400CE</t>
  </si>
  <si>
    <t>2600000019911632</t>
  </si>
  <si>
    <t>2700000066960580</t>
  </si>
  <si>
    <t>TVSMOTOR 30 Sep ₹3600 Call</t>
  </si>
  <si>
    <t>TVSMOTOR25SEP3600CE</t>
  </si>
  <si>
    <t>2600000057845523</t>
  </si>
  <si>
    <t>CGPOWER 30 Sep ₹740 Call</t>
  </si>
  <si>
    <t>CGPOWER25SEP740CE</t>
  </si>
  <si>
    <t>2200000041843021</t>
  </si>
  <si>
    <t>NIFTY 16 Sep ₹24900 Call</t>
  </si>
  <si>
    <t>NIFTY2591624900CE</t>
  </si>
  <si>
    <t>1100000217551424</t>
  </si>
  <si>
    <t>1100000228802702</t>
  </si>
  <si>
    <t>2300000155750284</t>
  </si>
  <si>
    <t>1100000242995656</t>
  </si>
  <si>
    <t>2200000114167979</t>
  </si>
  <si>
    <t>ADANIPORTS 30 Sep ₹1400 Call</t>
  </si>
  <si>
    <t>ADANIPORTS25SEP1400CE</t>
  </si>
  <si>
    <t>2500000008733252</t>
  </si>
  <si>
    <t>MOTHERSON 30 Sep ₹100 Call</t>
  </si>
  <si>
    <t>MOTHERSON25SEP100CE</t>
  </si>
  <si>
    <t>2700000016026301</t>
  </si>
  <si>
    <t>CGPOWER 30 Sep ₹750 Call</t>
  </si>
  <si>
    <t>CGPOWER25SEP750CE</t>
  </si>
  <si>
    <t>2200000010862106</t>
  </si>
  <si>
    <t>SAMMAANCAP 30 Sep ₹137.5 Call</t>
  </si>
  <si>
    <t>SAMMAANCAP25SEP137.5CE</t>
  </si>
  <si>
    <t>2100000023680029</t>
  </si>
  <si>
    <t>2200000036954125</t>
  </si>
  <si>
    <t>NIFTY 16 Sep ₹25000 Call</t>
  </si>
  <si>
    <t>NIFTY2591625000CE</t>
  </si>
  <si>
    <t>1300000056309274</t>
  </si>
  <si>
    <t>NIFTY 16 Sep ₹24950 Call</t>
  </si>
  <si>
    <t>NIFTY2591624950CE</t>
  </si>
  <si>
    <t>1200000123569395</t>
  </si>
  <si>
    <t>BDL 30 Sep ₹1500 Call</t>
  </si>
  <si>
    <t>BDL25SEP1500CE</t>
  </si>
  <si>
    <t>2400000151338611</t>
  </si>
  <si>
    <t>1200000178202498</t>
  </si>
  <si>
    <t>2400000173883266</t>
  </si>
  <si>
    <t>2400000003400527</t>
  </si>
  <si>
    <t>OFSS 30 Sep ₹9500 Call</t>
  </si>
  <si>
    <t>OFSS25SEP9500CE</t>
  </si>
  <si>
    <t>2500000007342740</t>
  </si>
  <si>
    <t>OFSS 30 Sep ₹9200 Call</t>
  </si>
  <si>
    <t>OFSS25SEP9200CE</t>
  </si>
  <si>
    <t>2500000046380413</t>
  </si>
  <si>
    <t>2500000062092531</t>
  </si>
  <si>
    <t>ADANIPORTS 30 Sep ₹1420 Call</t>
  </si>
  <si>
    <t>ADANIPORTS25SEP1420CE</t>
  </si>
  <si>
    <t>2500000068268723</t>
  </si>
  <si>
    <t>ETERNAL 30 Sep ₹330 Call</t>
  </si>
  <si>
    <t>ETERNAL25SEP330CE</t>
  </si>
  <si>
    <t>2400000121455705</t>
  </si>
  <si>
    <t>2100000114090998</t>
  </si>
  <si>
    <t>ULTRACEMCO 30 Sep Fut</t>
  </si>
  <si>
    <t>ULTRACEMCO25SEPFUT</t>
  </si>
  <si>
    <t>2600000003753545</t>
  </si>
  <si>
    <t>INDIGO 30 Sep Fut</t>
  </si>
  <si>
    <t>INDIGO25SEPFUT</t>
  </si>
  <si>
    <t>2700000025961240</t>
  </si>
  <si>
    <t>1300000029873417</t>
  </si>
  <si>
    <t>2400000057166160</t>
  </si>
  <si>
    <t>2700000091506292</t>
  </si>
  <si>
    <t>2600000062634642</t>
  </si>
  <si>
    <t>ULTRACEMCO 30 Sep ₹12500 Call</t>
  </si>
  <si>
    <t>ULTRACEMCO25SEP12500CE</t>
  </si>
  <si>
    <t>2600000071206368</t>
  </si>
  <si>
    <t>BHARTIARTL 30 Sep ₹1920 Call</t>
  </si>
  <si>
    <t>BHARTIARTL25SEP1920CE</t>
  </si>
  <si>
    <t>2400000091839798</t>
  </si>
  <si>
    <t>1000000103845074</t>
  </si>
  <si>
    <t>NIFTY 23 Sep ₹25100 Call</t>
  </si>
  <si>
    <t>NIFTY2592325100CE</t>
  </si>
  <si>
    <t>1500000114116649</t>
  </si>
  <si>
    <t>NIFTY 23 Sep ₹25400 Call</t>
  </si>
  <si>
    <t>NIFTY2592325400CE</t>
  </si>
  <si>
    <t>1400000118215239</t>
  </si>
  <si>
    <t>MOTHERSON 30 Sep ₹110 Call</t>
  </si>
  <si>
    <t>MOTHERSON25SEP110CE</t>
  </si>
  <si>
    <t>2700000194248349</t>
  </si>
  <si>
    <t>2600000005093058</t>
  </si>
  <si>
    <t>1400000012500512</t>
  </si>
  <si>
    <t>GODREJPROP 30 Sep ₹2050 Call</t>
  </si>
  <si>
    <t>GODREJPROP25SEP2050CE</t>
  </si>
  <si>
    <t>2100000016985902</t>
  </si>
  <si>
    <t>BEL 30 Sep ₹400 Call</t>
  </si>
  <si>
    <t>BEL25SEP400CE</t>
  </si>
  <si>
    <t>2400000037964361</t>
  </si>
  <si>
    <t>MCX 30 Sep ₹7700 Call</t>
  </si>
  <si>
    <t>MCX25SEP7700CE</t>
  </si>
  <si>
    <t>2700000052242418</t>
  </si>
  <si>
    <t>2700000058527791</t>
  </si>
  <si>
    <t>2400000052518099</t>
  </si>
  <si>
    <t>BEL 30 Sep ₹395 Call</t>
  </si>
  <si>
    <t>BEL25SEP395CE</t>
  </si>
  <si>
    <t>2400000081195801</t>
  </si>
  <si>
    <t>2100000092430868</t>
  </si>
  <si>
    <t>2700000175703997</t>
  </si>
  <si>
    <t>1500000031680437</t>
  </si>
  <si>
    <t>1000000031774310</t>
  </si>
  <si>
    <t>1000000052029258</t>
  </si>
  <si>
    <t>NIFTY 23 Sep ₹25200 Call</t>
  </si>
  <si>
    <t>NIFTY2592325200CE</t>
  </si>
  <si>
    <t>1000000056953005</t>
  </si>
  <si>
    <t>2400000071624966</t>
  </si>
  <si>
    <t>1000000084350894</t>
  </si>
  <si>
    <t>2400000092241988</t>
  </si>
  <si>
    <t>NIFTY 23 Sep ₹25300 Call</t>
  </si>
  <si>
    <t>NIFTY2592325300CE</t>
  </si>
  <si>
    <t>1200000123353646</t>
  </si>
  <si>
    <t>1200000146322285</t>
  </si>
  <si>
    <t>2700000157070298</t>
  </si>
  <si>
    <t>MIDCPNIFTY 30 Sep ₹13100 Call</t>
  </si>
  <si>
    <t>MIDCPNIFTY25SEP13100CE</t>
  </si>
  <si>
    <t>1700000002834120</t>
  </si>
  <si>
    <t>BOSCHLTD 30 Sep ₹40000 Call</t>
  </si>
  <si>
    <t>BOSCHLTD25SEP40000CE</t>
  </si>
  <si>
    <t>2400000007438050</t>
  </si>
  <si>
    <t>AMBER 30 Sep ₹8300 Call</t>
  </si>
  <si>
    <t>AMBER25SEP8300CE</t>
  </si>
  <si>
    <t>2500000005822524</t>
  </si>
  <si>
    <t>DLF 30 Sep ₹780 Call</t>
  </si>
  <si>
    <t>DLF25SEP780CE</t>
  </si>
  <si>
    <t>2300000026254511</t>
  </si>
  <si>
    <t>NIFTY 23 Sep ₹25500 Call</t>
  </si>
  <si>
    <t>NIFTY2592325500CE</t>
  </si>
  <si>
    <t>1600000036093586</t>
  </si>
  <si>
    <t>BEL 30 Sep ₹410 Call</t>
  </si>
  <si>
    <t>BEL25SEP410CE</t>
  </si>
  <si>
    <t>2400000054861053</t>
  </si>
  <si>
    <t>BHARTIARTL 30 Sep Fut</t>
  </si>
  <si>
    <t>BHARTIARTL25SEPFUT</t>
  </si>
  <si>
    <t>2400000057890480</t>
  </si>
  <si>
    <t>2400000147199859</t>
  </si>
  <si>
    <t>INFY 28 Oct Fut</t>
  </si>
  <si>
    <t>INFY25OCTFUT</t>
  </si>
  <si>
    <t>2700000206137510</t>
  </si>
  <si>
    <t>1600000141558865</t>
  </si>
  <si>
    <t>SHRIRAMFIN 30 Sep ₹630 Call</t>
  </si>
  <si>
    <t>SHRIRAMFIN25SEP630CE</t>
  </si>
  <si>
    <t>2100000145676086</t>
  </si>
  <si>
    <t>HDFCBANK 30 Sep ₹980 Call</t>
  </si>
  <si>
    <t>HDFCBANK25SEP980CE</t>
  </si>
  <si>
    <t>2200000005920517</t>
  </si>
  <si>
    <t>2300000057740257</t>
  </si>
  <si>
    <t>2400000068942849</t>
  </si>
  <si>
    <t>UPL 30 Sep ₹700 Call</t>
  </si>
  <si>
    <t>UPL25SEP700CE</t>
  </si>
  <si>
    <t>2600000072541651</t>
  </si>
  <si>
    <t>NIFTY 28 Oct ₹26000 Call</t>
  </si>
  <si>
    <t>NIFTY25OCT26000CE</t>
  </si>
  <si>
    <t>1200000015867829</t>
  </si>
  <si>
    <t>NIFTY 23 Sep ₹25350 Call</t>
  </si>
  <si>
    <t>NIFTY2592325350CE</t>
  </si>
  <si>
    <t>1300000036827246</t>
  </si>
  <si>
    <t>BANKNIFTY 30 Sep ₹55600 Call</t>
  </si>
  <si>
    <t>BANKNIFTY25SEP55600CE</t>
  </si>
  <si>
    <t>1700000033717479</t>
  </si>
  <si>
    <t>LTIM 30 Sep ₹5500 Call</t>
  </si>
  <si>
    <t>LTIM25SEP5500CE</t>
  </si>
  <si>
    <t>2100000105265763</t>
  </si>
  <si>
    <t>1700000046703761</t>
  </si>
  <si>
    <t>1300000054342019</t>
  </si>
  <si>
    <t>1700000048492339</t>
  </si>
  <si>
    <t>MIDCPNIFTY 30 Sep ₹13300 Call</t>
  </si>
  <si>
    <t>MIDCPNIFTY25SEP13300CE</t>
  </si>
  <si>
    <t>1700000048757497</t>
  </si>
  <si>
    <t>2700000141593442</t>
  </si>
  <si>
    <t>GLENMARK 30 Sep ₹2120 Call</t>
  </si>
  <si>
    <t>GLENMARK25SEP2120CE</t>
  </si>
  <si>
    <t>2100000001304510</t>
  </si>
  <si>
    <t>1400000003889659</t>
  </si>
  <si>
    <t>BIOCON 30 Sep ₹370 Call</t>
  </si>
  <si>
    <t>BIOCON25SEP370CE</t>
  </si>
  <si>
    <t>2400000016295158</t>
  </si>
  <si>
    <t>NIFTY 23 Sep ₹25250 Call</t>
  </si>
  <si>
    <t>NIFTY2592325250CE</t>
  </si>
  <si>
    <t>1100000014139350</t>
  </si>
  <si>
    <t>2100000046849899</t>
  </si>
  <si>
    <t>1100000043912450</t>
  </si>
  <si>
    <t>2500000108548327</t>
  </si>
  <si>
    <t>NIFTY 23 Sep ₹25300 Put</t>
  </si>
  <si>
    <t>NIFTY2592325300PE</t>
  </si>
  <si>
    <t>1200000057559329</t>
  </si>
  <si>
    <t>1200000061247992</t>
  </si>
  <si>
    <t>ADANIPORTS 30 Sep ₹1440 Call</t>
  </si>
  <si>
    <t>ADANIPORTS25SEP1440CE</t>
  </si>
  <si>
    <t>2500000127837902</t>
  </si>
  <si>
    <t>2100000118385539</t>
  </si>
  <si>
    <t>PERSISTENT 30 Sep ₹5300 Call</t>
  </si>
  <si>
    <t>PERSISTENT25SEP5300CE</t>
  </si>
  <si>
    <t>2300000011752258</t>
  </si>
  <si>
    <t>KOTAKBANK 30 Sep ₹2020 Call</t>
  </si>
  <si>
    <t>KOTAKBANK25SEP2020CE</t>
  </si>
  <si>
    <t>2400000075387114</t>
  </si>
  <si>
    <t>2500000213648985</t>
  </si>
  <si>
    <t>RELIANCE 30 Sep ₹1400 Call</t>
  </si>
  <si>
    <t>RELIANCE25SEP1400CE</t>
  </si>
  <si>
    <t>2500000220780265</t>
  </si>
  <si>
    <t>CGPOWER 30 Sep ₹770 Call</t>
  </si>
  <si>
    <t>CGPOWER25SEP770CE</t>
  </si>
  <si>
    <t>2200000122429652</t>
  </si>
  <si>
    <t>NIFTY 23 Sep ₹25150 Call</t>
  </si>
  <si>
    <t>NIFTY2592325150CE</t>
  </si>
  <si>
    <t>1600000162490129</t>
  </si>
  <si>
    <t>2400000000510680</t>
  </si>
  <si>
    <t>1600000013234394</t>
  </si>
  <si>
    <t>2500000049829716</t>
  </si>
  <si>
    <t>ADANIGREEN 30 Sep ₹1160 Call</t>
  </si>
  <si>
    <t>ADANIGREEN25SEP1160CE</t>
  </si>
  <si>
    <t>2500000051580834</t>
  </si>
  <si>
    <t>ADANIENT 30 Sep ₹2600 Call</t>
  </si>
  <si>
    <t>ADANIENT25SEP2600CE</t>
  </si>
  <si>
    <t>2500000080202119</t>
  </si>
  <si>
    <t>2500000094513508</t>
  </si>
  <si>
    <t>MARUTI 30 Sep ₹16000 Call</t>
  </si>
  <si>
    <t>MARUTI25SEP16000CE</t>
  </si>
  <si>
    <t>2700000107595037</t>
  </si>
  <si>
    <t>MUTHOOTFIN 30 Sep ₹3050 Call</t>
  </si>
  <si>
    <t>MUTHOOTFIN25SEP3050CE</t>
  </si>
  <si>
    <t>2700000115689322</t>
  </si>
  <si>
    <t>BANKNIFTY 30 Sep ₹55500 Call</t>
  </si>
  <si>
    <t>BANKNIFTY25SEP55500CE</t>
  </si>
  <si>
    <t>2000000066534328</t>
  </si>
  <si>
    <t>2000000094464767</t>
  </si>
  <si>
    <t>2500000223596693</t>
  </si>
  <si>
    <t>1400000200449893</t>
  </si>
  <si>
    <t>2700000084299745</t>
  </si>
  <si>
    <t>2700000214282021</t>
  </si>
  <si>
    <t>2600000156453750</t>
  </si>
  <si>
    <t>2600000156482221</t>
  </si>
  <si>
    <t>2500000217318618</t>
  </si>
  <si>
    <t>2500000001735595</t>
  </si>
  <si>
    <t>2400000028646894</t>
  </si>
  <si>
    <t>2200000037978042</t>
  </si>
  <si>
    <t>2100000103151337</t>
  </si>
  <si>
    <t>PATANJALI 30 Sep ₹613.35 Call</t>
  </si>
  <si>
    <t>PATANJALI25SEP613.35CE</t>
  </si>
  <si>
    <t>2300000139636258</t>
  </si>
  <si>
    <t>2400000154354073</t>
  </si>
  <si>
    <t>2200000107360765</t>
  </si>
  <si>
    <t>2600000138239478</t>
  </si>
  <si>
    <t>2600000138271389</t>
  </si>
  <si>
    <t>2600000138319949</t>
  </si>
  <si>
    <t>2300000140109513</t>
  </si>
  <si>
    <t>2500000155776956</t>
  </si>
  <si>
    <t>1700000119707645</t>
  </si>
  <si>
    <t>2100000103945845</t>
  </si>
  <si>
    <t>2400000154952949</t>
  </si>
  <si>
    <t>2500000183918243</t>
  </si>
  <si>
    <t>2500000186754815</t>
  </si>
  <si>
    <t>2500000188410847</t>
  </si>
  <si>
    <t>HDFCBANK 28 Oct ₹960 Call</t>
  </si>
  <si>
    <t>HDFCBANK25OCT960CE</t>
  </si>
  <si>
    <t>2200000036599490</t>
  </si>
  <si>
    <t>TITAN 28 Oct ₹3400 Call</t>
  </si>
  <si>
    <t>TITAN25OCT3400CE</t>
  </si>
  <si>
    <t>2600000072084975</t>
  </si>
  <si>
    <t>INDIGO 28 Oct Fut</t>
  </si>
  <si>
    <t>INDIGO25OCTFUT</t>
  </si>
  <si>
    <t>2700000092342424</t>
  </si>
  <si>
    <t>2200000074266017</t>
  </si>
  <si>
    <t>CANBK 28 Oct ₹124 Call</t>
  </si>
  <si>
    <t>CANBK25OCT124CE</t>
  </si>
  <si>
    <t>2200000110731061</t>
  </si>
  <si>
    <t>2700000190953754</t>
  </si>
  <si>
    <t>2600000160423835</t>
  </si>
  <si>
    <t>KOTAKBANK 28 Oct Fut</t>
  </si>
  <si>
    <t>KOTAKBANK25OCTFUT</t>
  </si>
  <si>
    <t>2400000170696171</t>
  </si>
  <si>
    <t>2400000059118981</t>
  </si>
  <si>
    <t>2200000084081920</t>
  </si>
  <si>
    <t>HDFCBANK 28 Oct ₹965 Call</t>
  </si>
  <si>
    <t>HDFCBANK25OCT965CE</t>
  </si>
  <si>
    <t>2200000111712441</t>
  </si>
  <si>
    <t>ICICIBANK 28 Oct ₹1370 Call</t>
  </si>
  <si>
    <t>ICICIBANK25OCT1370CE</t>
  </si>
  <si>
    <t>2700000164754839</t>
  </si>
  <si>
    <t>JINDALSTEL 28 Oct Fut</t>
  </si>
  <si>
    <t>JINDALSTEL25OCTFUT</t>
  </si>
  <si>
    <t>2400000151661277</t>
  </si>
  <si>
    <t>TATAMOTORS 28 Oct ₹720 Call</t>
  </si>
  <si>
    <t>TATAMOTORS25OCT720CE</t>
  </si>
  <si>
    <t>2600000147762678</t>
  </si>
  <si>
    <t>2400000003832697</t>
  </si>
  <si>
    <t>2200000054707917</t>
  </si>
  <si>
    <t>TITAN 28 Oct Fut</t>
  </si>
  <si>
    <t>TITAN25OCTFUT</t>
  </si>
  <si>
    <t>2600000071945563</t>
  </si>
  <si>
    <t>IEX 28 Oct Fut</t>
  </si>
  <si>
    <t>IEX25OCTFUT</t>
  </si>
  <si>
    <t>2700000102123593</t>
  </si>
  <si>
    <t>CANBK 28 Oct ₹127 Call</t>
  </si>
  <si>
    <t>CANBK25OCT127CE</t>
  </si>
  <si>
    <t>2200000078817595</t>
  </si>
  <si>
    <t>KOTAKBANK 28 Oct ₹2160 Call</t>
  </si>
  <si>
    <t>KOTAKBANK25OCT2160CE</t>
  </si>
  <si>
    <t>2400000113003084</t>
  </si>
  <si>
    <t>ADANIPORTS 28 Oct ₹1400 Call</t>
  </si>
  <si>
    <t>ADANIPORTS25OCT1400CE</t>
  </si>
  <si>
    <t>2500000130709906</t>
  </si>
  <si>
    <t>2600000164552350</t>
  </si>
  <si>
    <t>2700000060265234</t>
  </si>
  <si>
    <t>2200000124905832</t>
  </si>
  <si>
    <t>TITAGARH 28 Oct ₹960 Call</t>
  </si>
  <si>
    <t>TITAGARH25OCT960CE</t>
  </si>
  <si>
    <t>2600000173581125</t>
  </si>
  <si>
    <t>2500000087635148</t>
  </si>
  <si>
    <t>2700000096821777</t>
  </si>
  <si>
    <t>2400000008417300</t>
  </si>
  <si>
    <t>HDFCAMC 28 Oct Fut</t>
  </si>
  <si>
    <t>HDFCAMC25OCTFUT</t>
  </si>
  <si>
    <t>2200000152615393</t>
  </si>
  <si>
    <t>2200000165403452</t>
  </si>
  <si>
    <t>ADANIENSOL 28 Oct ₹950 Call</t>
  </si>
  <si>
    <t>ADANIENSOL25OCT950CE</t>
  </si>
  <si>
    <t>2500000171904297</t>
  </si>
  <si>
    <t>BAJAJFINSV 28 Oct Fut</t>
  </si>
  <si>
    <t>BAJAJFINSV25OCTFUT</t>
  </si>
  <si>
    <t>2400000000937138</t>
  </si>
  <si>
    <t>2200000010767325</t>
  </si>
  <si>
    <t>TITAN 28 Oct ₹3600 Call</t>
  </si>
  <si>
    <t>TITAN25OCT3600CE</t>
  </si>
  <si>
    <t>2600000018836628</t>
  </si>
  <si>
    <t>2600000055176880</t>
  </si>
  <si>
    <t>2200000075350240</t>
  </si>
  <si>
    <t>2400000084496988</t>
  </si>
  <si>
    <t>AXISBANK 28 Oct ₹1200 Call</t>
  </si>
  <si>
    <t>AXISBANK25OCT1200CE</t>
  </si>
  <si>
    <t>2500000100222092</t>
  </si>
  <si>
    <t>KAYNES 28 Oct Fut</t>
  </si>
  <si>
    <t>KAYNES25OCTFUT</t>
  </si>
  <si>
    <t>2400000106595961</t>
  </si>
  <si>
    <t>CANBK 28 Oct Fut</t>
  </si>
  <si>
    <t>CANBK25OCTFUT</t>
  </si>
  <si>
    <t>2200000102974455</t>
  </si>
  <si>
    <t>HDFCAMC 28 Oct ₹5800 Call</t>
  </si>
  <si>
    <t>HDFCAMC25OCT5800CE</t>
  </si>
  <si>
    <t>2200000142953576</t>
  </si>
  <si>
    <t>1200000160077167</t>
  </si>
  <si>
    <t>MUTHOOTFIN 28 Oct ₹3350 Call</t>
  </si>
  <si>
    <t>MUTHOOTFIN25OCT3350CE</t>
  </si>
  <si>
    <t>2700000015420895</t>
  </si>
  <si>
    <t>MANAPPURAM 28 Oct ₹290 Call</t>
  </si>
  <si>
    <t>MANAPPURAM25OCT290CE</t>
  </si>
  <si>
    <t>2700000016223510</t>
  </si>
  <si>
    <t>2200000076412855</t>
  </si>
  <si>
    <t>2700000180736154</t>
  </si>
  <si>
    <t>BEL 28 Oct ₹415 Call</t>
  </si>
  <si>
    <t>BEL25OCT415CE</t>
  </si>
  <si>
    <t>2400000147411807</t>
  </si>
  <si>
    <t>HINDZINC 28 Oct ₹500 Call</t>
  </si>
  <si>
    <t>HINDZINC25OCT500CE</t>
  </si>
  <si>
    <t>2200000175248652</t>
  </si>
  <si>
    <t>2500000023691412</t>
  </si>
  <si>
    <t>2500000102070306</t>
  </si>
  <si>
    <t>2200000135772960</t>
  </si>
  <si>
    <t>2200000137030908</t>
  </si>
  <si>
    <t>ICICIBANK 28 Oct ₹1400 Call</t>
  </si>
  <si>
    <t>ICICIBANK25OCT1400CE</t>
  </si>
  <si>
    <t>2700000226447982</t>
  </si>
  <si>
    <t>KAYNES 28 Oct ₹6900 Call</t>
  </si>
  <si>
    <t>KAYNES25OCT6900CE</t>
  </si>
  <si>
    <t>2400000198711807</t>
  </si>
  <si>
    <t>2400000008121994</t>
  </si>
  <si>
    <t>2700000021499917</t>
  </si>
  <si>
    <t>2400000015258771</t>
  </si>
  <si>
    <t>NIFTY 28 Oct ₹26050 Call</t>
  </si>
  <si>
    <t>NIFTY25OCT26050CE</t>
  </si>
  <si>
    <t>1300000013456676</t>
  </si>
  <si>
    <t>2200000049595665</t>
  </si>
  <si>
    <t>1300000112828431</t>
  </si>
  <si>
    <t>NIFTY 04 Nov ₹26200 Call</t>
  </si>
  <si>
    <t>NIFTY25N0426200CE</t>
  </si>
  <si>
    <t>1600000124926523</t>
  </si>
  <si>
    <t>NIFTY 04 Nov ₹26050 Call</t>
  </si>
  <si>
    <t>NIFTY25N0426050CE</t>
  </si>
  <si>
    <t>1300000126822614</t>
  </si>
  <si>
    <t>1200000141240831</t>
  </si>
  <si>
    <t>2200000187395421</t>
  </si>
  <si>
    <t>1600000195985577</t>
  </si>
  <si>
    <t>1200000203584867</t>
  </si>
  <si>
    <t>1300000000006881</t>
  </si>
  <si>
    <t>2700000195827117</t>
  </si>
  <si>
    <t>2200000174287224</t>
  </si>
  <si>
    <t>2200000174328480</t>
  </si>
  <si>
    <t>2600000167141259</t>
  </si>
  <si>
    <t>2400000027567432</t>
  </si>
  <si>
    <t>APLAPOLLO 25 Nov Fut</t>
  </si>
  <si>
    <t>APLAPOLLO25NOVFUT</t>
  </si>
  <si>
    <t>2500000002721065</t>
  </si>
  <si>
    <t>CIPLA 25 Nov ₹1560 Call</t>
  </si>
  <si>
    <t>CIPLA25NOV1560CE</t>
  </si>
  <si>
    <t>2200000031613730</t>
  </si>
  <si>
    <t>ADANIGREEN 25 Nov ₹1100 Call</t>
  </si>
  <si>
    <t>ADANIGREEN25NOV1100CE</t>
  </si>
  <si>
    <t>2500000042666850</t>
  </si>
  <si>
    <t>2200000098873263</t>
  </si>
  <si>
    <t>CIPLA 25 Nov Fut</t>
  </si>
  <si>
    <t>CIPLA25NOVFUT</t>
  </si>
  <si>
    <t>2200000121810828</t>
  </si>
  <si>
    <t>CIPLA 25 Nov ₹1540 Call</t>
  </si>
  <si>
    <t>CIPLA25NOV1540CE</t>
  </si>
  <si>
    <t>2200000157752063</t>
  </si>
  <si>
    <t>2500000175713579</t>
  </si>
  <si>
    <t>2500000179388550</t>
  </si>
  <si>
    <t>POWERGRID 25 Nov ₹290 Call</t>
  </si>
  <si>
    <t>POWERGRID25NOV290CE</t>
  </si>
  <si>
    <t>2300000008396629</t>
  </si>
  <si>
    <t>ADANIGREEN 25 Nov ₹1140 Call</t>
  </si>
  <si>
    <t>ADANIGREEN25NOV1140CE</t>
  </si>
  <si>
    <t>2500000013198889</t>
  </si>
  <si>
    <t>IDFCFIRSTB 25 Nov Fut</t>
  </si>
  <si>
    <t>IDFCFIRSTB25NOVFUT</t>
  </si>
  <si>
    <t>2700000018628138</t>
  </si>
  <si>
    <t>UNITDSPR 25 Nov Fut</t>
  </si>
  <si>
    <t>UNITDSPR25NOVFUT</t>
  </si>
  <si>
    <t>2600000057030542</t>
  </si>
  <si>
    <t>2700000115469307</t>
  </si>
  <si>
    <t>ULTRACEMCO 25 Nov Fut</t>
  </si>
  <si>
    <t>ULTRACEMCO25NOVFUT</t>
  </si>
  <si>
    <t>2600000126561270</t>
  </si>
  <si>
    <t>RBLBANK 25 Nov ₹325 Call</t>
  </si>
  <si>
    <t>RBLBANK25NOV325CE</t>
  </si>
  <si>
    <t>2500000183775913</t>
  </si>
  <si>
    <t>TATASTEEL 25 Nov ₹182.5 Call</t>
  </si>
  <si>
    <t>TATASTEEL25NOV182.5CE</t>
  </si>
  <si>
    <t>2600000007403397</t>
  </si>
  <si>
    <t>2600000073222578</t>
  </si>
  <si>
    <t>IDFCFIRSTB 25 Nov ₹82 Call</t>
  </si>
  <si>
    <t>IDFCFIRSTB25NOV82CE</t>
  </si>
  <si>
    <t>2700000095354308</t>
  </si>
  <si>
    <t>2500000121618763</t>
  </si>
  <si>
    <t>BHARTIARTL 25 Nov ₹2120 Call</t>
  </si>
  <si>
    <t>BHARTIARTL25NOV2120CE</t>
  </si>
  <si>
    <t>2400000009936946</t>
  </si>
  <si>
    <t>DELHIVERY 25 Nov ₹480 Call</t>
  </si>
  <si>
    <t>DELHIVERY25NOV480CE</t>
  </si>
  <si>
    <t>2300000018921437</t>
  </si>
  <si>
    <t>2300000045002903</t>
  </si>
  <si>
    <t>BEL 25 Nov ₹415 Call</t>
  </si>
  <si>
    <t>BEL25NOV415CE</t>
  </si>
  <si>
    <t>2400000075710361</t>
  </si>
  <si>
    <t>2400000106544820</t>
  </si>
  <si>
    <t>NIFTY 11 Nov ₹25400 Put</t>
  </si>
  <si>
    <t>NIFTY25N1125400PE</t>
  </si>
  <si>
    <t>1400000238673635</t>
  </si>
  <si>
    <t>BRITANNIA 25 Nov ₹6100 Call</t>
  </si>
  <si>
    <t>BRITANNIA25NOV6100CE</t>
  </si>
  <si>
    <t>2400000023342567</t>
  </si>
  <si>
    <t>1400000058309946</t>
  </si>
  <si>
    <t>2400000117657742</t>
  </si>
  <si>
    <t>NIFTY 18 Nov ₹25800 Call</t>
  </si>
  <si>
    <t>NIFTY25N1825800CE</t>
  </si>
  <si>
    <t>1500000196167467</t>
  </si>
  <si>
    <t>1500000139738124</t>
  </si>
  <si>
    <t>2400000120115901</t>
  </si>
  <si>
    <t>2600000109644558</t>
  </si>
  <si>
    <t>2600000109644879</t>
  </si>
  <si>
    <t>2200000111549521</t>
  </si>
  <si>
    <t>HINDZINC 30 Dec Fut</t>
  </si>
  <si>
    <t>HINDZINC25DECFUT</t>
  </si>
  <si>
    <t>2100000047546192</t>
  </si>
  <si>
    <t>2100000012932765</t>
  </si>
  <si>
    <t>TATASTEEL 30 Dec ₹165 Call</t>
  </si>
  <si>
    <t>TATASTEEL25DEC165CE</t>
  </si>
  <si>
    <t>2600000004914226</t>
  </si>
  <si>
    <t>SBIN 30 Dec Fut</t>
  </si>
  <si>
    <t>SBIN25DECFUT</t>
  </si>
  <si>
    <t>2200000005536866</t>
  </si>
  <si>
    <t>NIFTY 16 Dec ₹25800 Call</t>
  </si>
  <si>
    <t>NIFTY25D1625800CE</t>
  </si>
  <si>
    <t>1500000060655835</t>
  </si>
  <si>
    <t>NIFTY 16 Dec ₹25750 Call</t>
  </si>
  <si>
    <t>NIFTY25D1625750CE</t>
  </si>
  <si>
    <t>1400000096407610</t>
  </si>
  <si>
    <t>1400000097212063</t>
  </si>
  <si>
    <t>1500000109255854</t>
  </si>
  <si>
    <t>1500000135347161</t>
  </si>
  <si>
    <t>2600000101257186</t>
  </si>
  <si>
    <t>2200000091406715</t>
  </si>
  <si>
    <t>NIFTY 16 Dec ₹25850 Put</t>
  </si>
  <si>
    <t>NIFTY25D1625850PE</t>
  </si>
  <si>
    <t>1600000171026274</t>
  </si>
  <si>
    <t>NIFTY 16 Dec ₹25900 Call</t>
  </si>
  <si>
    <t>NIFTY25D1625900CE</t>
  </si>
  <si>
    <t>1000000184119936</t>
  </si>
  <si>
    <t>1000000244240191</t>
  </si>
  <si>
    <t>ADANIGREEN 30 Dec ₹1040 Call</t>
  </si>
  <si>
    <t>ADANIGREEN25DEC1040CE</t>
  </si>
  <si>
    <t>2300000003258159</t>
  </si>
  <si>
    <t>1600000009213277</t>
  </si>
  <si>
    <t>NIFTY 16 Dec ₹26000 Call</t>
  </si>
  <si>
    <t>NIFTY25D1626000CE</t>
  </si>
  <si>
    <t>1200000011636144</t>
  </si>
  <si>
    <t>NIFTY 16 Dec ₹26050 Call</t>
  </si>
  <si>
    <t>NIFTY25D1626050CE</t>
  </si>
  <si>
    <t>1300000015021676</t>
  </si>
  <si>
    <t>DLF 30 Dec ₹700 Call</t>
  </si>
  <si>
    <t>DLF25DEC700CE</t>
  </si>
  <si>
    <t>2500000015019941</t>
  </si>
  <si>
    <t>NIFTY 16 Dec ₹25950 Call</t>
  </si>
  <si>
    <t>NIFTY25D1625950CE</t>
  </si>
  <si>
    <t>1100000046711685</t>
  </si>
  <si>
    <t>1600000054989981</t>
  </si>
  <si>
    <t>1100000060687501</t>
  </si>
  <si>
    <t>1100000062706135</t>
  </si>
  <si>
    <t>1100000083565712</t>
  </si>
  <si>
    <t>1200000089764555</t>
  </si>
  <si>
    <t>BANKNIFTY 30 Dec ₹59200 Call</t>
  </si>
  <si>
    <t>BANKNIFTY25DEC59200CE</t>
  </si>
  <si>
    <t>1700000084014479</t>
  </si>
  <si>
    <t>1700000105518323</t>
  </si>
  <si>
    <t>1100000136671354</t>
  </si>
  <si>
    <t>1200000199748848</t>
  </si>
  <si>
    <t>NIFTY 23 Dec ₹26200 Call</t>
  </si>
  <si>
    <t>NIFTY25D2326200CE</t>
  </si>
  <si>
    <t>1600000184167498</t>
  </si>
  <si>
    <t>1700000002494056</t>
  </si>
  <si>
    <t>1000000008729989</t>
  </si>
  <si>
    <t>1600000010542581</t>
  </si>
  <si>
    <t>1700000009071813</t>
  </si>
  <si>
    <t>BANKNIFTY 30 Dec ₹59100 Call</t>
  </si>
  <si>
    <t>BANKNIFTY25DEC59100CE</t>
  </si>
  <si>
    <t>1800000010324946</t>
  </si>
  <si>
    <t>TCS 30 Dec ₹3200 Call</t>
  </si>
  <si>
    <t>TCS25DEC3200CE</t>
  </si>
  <si>
    <t>1900000024641939</t>
  </si>
  <si>
    <t>1000000076789023</t>
  </si>
  <si>
    <t>1800000118713622</t>
  </si>
  <si>
    <t>1700000185692945</t>
  </si>
  <si>
    <t>1900000189569076</t>
  </si>
  <si>
    <t>1700000199826273</t>
  </si>
  <si>
    <t>2300000129732465</t>
  </si>
  <si>
    <t>1700000008007579</t>
  </si>
  <si>
    <t>1700000008074471</t>
  </si>
  <si>
    <t>1700000010600429</t>
  </si>
  <si>
    <t>NIFTY 23 Dec ₹25900 Call</t>
  </si>
  <si>
    <t>NIFTY25D2325900CE</t>
  </si>
  <si>
    <t>1000000015341217</t>
  </si>
  <si>
    <t>1800000013648507</t>
  </si>
  <si>
    <t>1800000013695399</t>
  </si>
  <si>
    <t>1800000016456764</t>
  </si>
  <si>
    <t>1800000023823641</t>
  </si>
  <si>
    <t>1800000065720410</t>
  </si>
  <si>
    <t>NIFTY 23 Dec ₹25800 Put</t>
  </si>
  <si>
    <t>NIFTY25D2325800PE</t>
  </si>
  <si>
    <t>1500000180357441</t>
  </si>
  <si>
    <t>1800000169408301</t>
  </si>
  <si>
    <t>1500000205243798</t>
  </si>
  <si>
    <t>1000000283723920</t>
  </si>
  <si>
    <t>BANKNIFTY 30 Dec ₹59000 Call</t>
  </si>
  <si>
    <t>BANKNIFTY25DEC59000CE</t>
  </si>
  <si>
    <t>1700000016308095</t>
  </si>
  <si>
    <t>NIFTY 23 Dec ₹25950 Call</t>
  </si>
  <si>
    <t>NIFTY25D2325950CE</t>
  </si>
  <si>
    <t>1100000023402846</t>
  </si>
  <si>
    <t>1700000027463225</t>
  </si>
  <si>
    <t>NIFTY 23 Dec ₹25850 Call</t>
  </si>
  <si>
    <t>NIFTY25D2325850CE</t>
  </si>
  <si>
    <t>1600000028721933</t>
  </si>
  <si>
    <t>1700000059526037</t>
  </si>
  <si>
    <t>NMDC 30 Dec ₹77 Call</t>
  </si>
  <si>
    <t>NMDC25DEC77CE</t>
  </si>
  <si>
    <t>2400000048425552</t>
  </si>
  <si>
    <t>EICHERMOT 30 Dec ₹7200 Call</t>
  </si>
  <si>
    <t>EICHERMOT25DEC7200CE</t>
  </si>
  <si>
    <t>2400000049933770</t>
  </si>
  <si>
    <t>1600000068939979</t>
  </si>
  <si>
    <t>1100000066517738</t>
  </si>
  <si>
    <t>NIFTY 23 Dec ₹25800 Call</t>
  </si>
  <si>
    <t>NIFTY25D2325800CE</t>
  </si>
  <si>
    <t>1500000070785447</t>
  </si>
  <si>
    <t>NIFTY 23 Dec ₹25750 Call</t>
  </si>
  <si>
    <t>NIFTY25D2325750CE</t>
  </si>
  <si>
    <t>1400000111582310</t>
  </si>
  <si>
    <t>1400000111642518</t>
  </si>
  <si>
    <t>1400000117156617</t>
  </si>
  <si>
    <t>2400000105897060</t>
  </si>
  <si>
    <t>1400000148194217</t>
  </si>
  <si>
    <t>HINDZINC 30 Dec ₹575 Call</t>
  </si>
  <si>
    <t>HINDZINC25DEC575CE</t>
  </si>
  <si>
    <t>2700000087955275</t>
  </si>
  <si>
    <t>2400000133420449</t>
  </si>
  <si>
    <t>1700000243940945</t>
  </si>
  <si>
    <t>1500000118910608</t>
  </si>
  <si>
    <t>1500000125937907</t>
  </si>
  <si>
    <t>1500000147787264</t>
  </si>
  <si>
    <t>1700000173266039</t>
  </si>
  <si>
    <t>2700000089495209</t>
  </si>
  <si>
    <t>1500000221806160</t>
  </si>
  <si>
    <t>NIFTY 30 Dec ₹26150 Call</t>
  </si>
  <si>
    <t>NIFTY25DEC26150CE</t>
  </si>
  <si>
    <t>1500000021912872</t>
  </si>
  <si>
    <t>BANKNIFTY 30 Dec ₹59500 Call</t>
  </si>
  <si>
    <t>BANKNIFTY25DEC59500CE</t>
  </si>
  <si>
    <t>1800000029970147</t>
  </si>
  <si>
    <t>MPHASIS 30 Dec ₹2850 Call</t>
  </si>
  <si>
    <t>MPHASIS25DEC2850CE</t>
  </si>
  <si>
    <t>2700000033514478</t>
  </si>
  <si>
    <t>1800000047535498</t>
  </si>
  <si>
    <t>JSWENERGY 30 Dec ₹480 Call</t>
  </si>
  <si>
    <t>JSWENERGY25DEC480CE</t>
  </si>
  <si>
    <t>2400000048634708</t>
  </si>
  <si>
    <t>LTIM 30 Dec ₹6200 Call</t>
  </si>
  <si>
    <t>LTIM25DEC6200CE</t>
  </si>
  <si>
    <t>2100000103712779</t>
  </si>
  <si>
    <t>MPHASIS 30 Dec ₹2900 Call</t>
  </si>
  <si>
    <t>MPHASIS25DEC2900CE</t>
  </si>
  <si>
    <t>2700000108316744</t>
  </si>
  <si>
    <t>2700000110581676</t>
  </si>
  <si>
    <t>2700000111181455</t>
  </si>
  <si>
    <t>2100000140444149</t>
  </si>
  <si>
    <t>LTIM 30 Dec ₹6100 Call</t>
  </si>
  <si>
    <t>LTIM25DEC6100CE</t>
  </si>
  <si>
    <t>2100000155484343</t>
  </si>
  <si>
    <t>MARUTI 30 Dec ₹16600 Call</t>
  </si>
  <si>
    <t>MARUTI25DEC16600CE</t>
  </si>
  <si>
    <t>2000000135233960</t>
  </si>
  <si>
    <t>2000000142938989</t>
  </si>
  <si>
    <t>1500000137275169</t>
  </si>
  <si>
    <t>RELIANCE 27 Jan ₹1570 Call</t>
  </si>
  <si>
    <t>RELIANCE26JAN1570CE</t>
  </si>
  <si>
    <t>2000000145786021</t>
  </si>
  <si>
    <t>BPCL 27 Jan ₹370 Put</t>
  </si>
  <si>
    <t>BPCL26JAN370PE</t>
  </si>
  <si>
    <t>2400000121722601</t>
  </si>
  <si>
    <t>1800000005796764</t>
  </si>
  <si>
    <t>2400000006225909</t>
  </si>
  <si>
    <t>1600000231534880</t>
  </si>
  <si>
    <t>2400000122448732</t>
  </si>
  <si>
    <t>2700000151281960</t>
  </si>
  <si>
    <t>2100000109837595</t>
  </si>
  <si>
    <t>NIFTY 06 Jan ₹26100 Call</t>
  </si>
  <si>
    <t>NIFTY2610626100CE</t>
  </si>
  <si>
    <t>1400000104299537</t>
  </si>
  <si>
    <t>1400000110345809</t>
  </si>
  <si>
    <t>NIFTY 06 Jan ₹26150 Call</t>
  </si>
  <si>
    <t>NIFTY2610626150CE</t>
  </si>
  <si>
    <t>1500000104323599</t>
  </si>
  <si>
    <t>1500000110765710</t>
  </si>
  <si>
    <t>BANKNIFTY 27 Jan ₹59700 Call</t>
  </si>
  <si>
    <t>BANKNIFTY26JAN59700CE</t>
  </si>
  <si>
    <t>1800000098204435</t>
  </si>
  <si>
    <t>1800000114771341</t>
  </si>
  <si>
    <t>1800000116692364</t>
  </si>
  <si>
    <t>BANKNIFTY 27 Jan ₹59600 Put</t>
  </si>
  <si>
    <t>BANKNIFTY26JAN59600PE</t>
  </si>
  <si>
    <t>1700000166990899</t>
  </si>
  <si>
    <t>BANKNIFTY 27 Jan ₹60000 Call</t>
  </si>
  <si>
    <t>BANKNIFTY26JAN60000CE</t>
  </si>
  <si>
    <t>1700000174025542</t>
  </si>
  <si>
    <t>NIFTY 06 Jan ₹26300 Call</t>
  </si>
  <si>
    <t>NIFTY2610626300CE</t>
  </si>
  <si>
    <t>1100000174341470</t>
  </si>
  <si>
    <t>1700000179233466</t>
  </si>
  <si>
    <t>BANKNIFTY 27 Jan ₹59900 Call</t>
  </si>
  <si>
    <t>BANKNIFTY26JAN59900CE</t>
  </si>
  <si>
    <t>1800000148004782</t>
  </si>
  <si>
    <t>1700000183523368</t>
  </si>
  <si>
    <t>1800000003448656</t>
  </si>
  <si>
    <t>1800000006072275</t>
  </si>
  <si>
    <t>1100000020436318</t>
  </si>
  <si>
    <t>BAJFINANCE 27 Jan ₹980 Call</t>
  </si>
  <si>
    <t>BAJFINANCE26JAN980CE</t>
  </si>
  <si>
    <t>2400000019019733</t>
  </si>
  <si>
    <t>FINNIFTY 27 Jan ₹28000 Call</t>
  </si>
  <si>
    <t>FINNIFTY26JAN28000CE</t>
  </si>
  <si>
    <t>1000000044591058</t>
  </si>
  <si>
    <t>NIFTY 06 Jan ₹26250 Call</t>
  </si>
  <si>
    <t>NIFTY2610626250CE</t>
  </si>
  <si>
    <t>1000000056979487</t>
  </si>
  <si>
    <t>1000000083655204</t>
  </si>
  <si>
    <t>2000000163776288</t>
  </si>
  <si>
    <t>2400000135177837</t>
  </si>
  <si>
    <t>MARICO 27 Jan ₹750 Call</t>
  </si>
  <si>
    <t>MARICO26JAN750CE</t>
  </si>
  <si>
    <t>2700000003159775</t>
  </si>
  <si>
    <t>RBLBANK 27 Jan ₹315 Call</t>
  </si>
  <si>
    <t>RBLBANK26JAN315CE</t>
  </si>
  <si>
    <t>2500000005241634</t>
  </si>
  <si>
    <t>BANKNIFTY 27 Jan ₹60200 Call</t>
  </si>
  <si>
    <t>BANKNIFTY26JAN60200CE</t>
  </si>
  <si>
    <t>1700000022040872</t>
  </si>
  <si>
    <t>1700000037551667</t>
  </si>
  <si>
    <t>NYKAA 27 Jan ₹267.5 Call</t>
  </si>
  <si>
    <t>NYKAA26JAN267.5CE</t>
  </si>
  <si>
    <t>2600000037711898</t>
  </si>
  <si>
    <t>1000000067893118</t>
  </si>
  <si>
    <t>HINDZINC 27 Jan ₹630 Call</t>
  </si>
  <si>
    <t>HINDZINC26JAN630CE</t>
  </si>
  <si>
    <t>2200000055877351</t>
  </si>
  <si>
    <t>1100000123158592</t>
  </si>
  <si>
    <t>2700000136746036</t>
  </si>
  <si>
    <t>HDFCBANK 27 Jan ₹980 Call</t>
  </si>
  <si>
    <t>HDFCBANK26JAN980CE</t>
  </si>
  <si>
    <t>2200000109431630</t>
  </si>
  <si>
    <t>NMDC 27 Jan ₹84 Call</t>
  </si>
  <si>
    <t>NMDC26JAN84CE</t>
  </si>
  <si>
    <t>2600000150003419</t>
  </si>
  <si>
    <t>2500000134055762</t>
  </si>
  <si>
    <t>2600000175577406</t>
  </si>
  <si>
    <t>2600000175945206</t>
  </si>
  <si>
    <t>NIFTY 13 Jan ₹26400 Call</t>
  </si>
  <si>
    <t>NIFTY2611326400CE</t>
  </si>
  <si>
    <t>1300000255448826</t>
  </si>
  <si>
    <t>MARICO 27 Jan ₹775 Call</t>
  </si>
  <si>
    <t>MARICO26JAN775CE</t>
  </si>
  <si>
    <t>2700000001804096</t>
  </si>
  <si>
    <t>RELIANCE 27 Jan ₹1520 Call</t>
  </si>
  <si>
    <t>RELIANCE26JAN1520CE</t>
  </si>
  <si>
    <t>2000000015063239</t>
  </si>
  <si>
    <t>NIFTY 13 Jan ₹26250 Call</t>
  </si>
  <si>
    <t>NIFTY2611326250CE</t>
  </si>
  <si>
    <t>1000000053247407</t>
  </si>
  <si>
    <t>1000000093389823</t>
  </si>
  <si>
    <t>FINNIFTY 27 Jan ₹28200 Call</t>
  </si>
  <si>
    <t>FINNIFTY26JAN28200CE</t>
  </si>
  <si>
    <t>1400000072341272</t>
  </si>
  <si>
    <t>BANKNIFTY 27 Jan ₹60300 Call</t>
  </si>
  <si>
    <t>BANKNIFTY26JAN60300CE</t>
  </si>
  <si>
    <t>1800000071883687</t>
  </si>
  <si>
    <t>MUTHOOTFIN 27 Jan ₹3950 Call</t>
  </si>
  <si>
    <t>MUTHOOTFIN26JAN3950CE</t>
  </si>
  <si>
    <t>2700000103244613</t>
  </si>
  <si>
    <t>SRF 27 Jan ₹3040 Call</t>
  </si>
  <si>
    <t>SRF26JAN3040CE</t>
  </si>
  <si>
    <t>2100000158100200</t>
  </si>
  <si>
    <t>BANKNIFTY 27 Jan ₹60500 Call</t>
  </si>
  <si>
    <t>BANKNIFTY26JAN60500CE</t>
  </si>
  <si>
    <t>1800000159151816</t>
  </si>
  <si>
    <t>ZYDUSLIFE 27 Jan ₹930 Call</t>
  </si>
  <si>
    <t>ZYDUSLIFE26JAN930CE</t>
  </si>
  <si>
    <t>2300000198403267</t>
  </si>
  <si>
    <t>2200000164708609</t>
  </si>
  <si>
    <t>2100000210763246</t>
  </si>
  <si>
    <t>2700000200480891</t>
  </si>
  <si>
    <t>1800000179076140</t>
  </si>
  <si>
    <t>HINDZINC 27 Jan ₹650 Call</t>
  </si>
  <si>
    <t>HINDZINC26JAN650CE</t>
  </si>
  <si>
    <t>2200000002686510</t>
  </si>
  <si>
    <t>1700000016420338</t>
  </si>
  <si>
    <t>BIOCON 27 Jan ₹390 Call</t>
  </si>
  <si>
    <t>BIOCON26JAN390CE</t>
  </si>
  <si>
    <t>2400000031898335</t>
  </si>
  <si>
    <t>MPHASIS 27 Jan ₹2850 Call</t>
  </si>
  <si>
    <t>MPHASIS26JAN2850CE</t>
  </si>
  <si>
    <t>2700000038693704</t>
  </si>
  <si>
    <t>CIPLA 27 Jan ₹1510 Call</t>
  </si>
  <si>
    <t>CIPLA26JAN1510CE</t>
  </si>
  <si>
    <t>2200000041544846</t>
  </si>
  <si>
    <t>MIDCPNIFTY 27 Jan ₹14150 Call</t>
  </si>
  <si>
    <t>MIDCPNIFTY26JAN14150CE</t>
  </si>
  <si>
    <t>1900000064790899</t>
  </si>
  <si>
    <t>2700000093540480</t>
  </si>
  <si>
    <t>DIVISLAB 27 Jan ₹6650 Call</t>
  </si>
  <si>
    <t>DIVISLAB26JAN6650CE</t>
  </si>
  <si>
    <t>2300000128450523</t>
  </si>
  <si>
    <t>2700000129475130</t>
  </si>
  <si>
    <t>NIFTY 13 Jan ₹26100 Put</t>
  </si>
  <si>
    <t>NIFTY2611326100PE</t>
  </si>
  <si>
    <t>1400000218346619</t>
  </si>
  <si>
    <t>1400000233349108</t>
  </si>
  <si>
    <t>HDFCBANK 27 Jan ₹950 Call</t>
  </si>
  <si>
    <t>HDFCBANK26JAN950CE</t>
  </si>
  <si>
    <t>2200000017699485</t>
  </si>
  <si>
    <t>SENSEX 08 Jan ₹84800 Call</t>
  </si>
  <si>
    <t>SENSEX2610884800CE</t>
  </si>
  <si>
    <t>1767846493583484563</t>
  </si>
  <si>
    <t>1767846654294180564</t>
  </si>
  <si>
    <t>1767846794405603828</t>
  </si>
  <si>
    <t>1767846970664778057</t>
  </si>
  <si>
    <t>1767847697715908605</t>
  </si>
  <si>
    <t>BANKNIFTY 27 Jan ₹59800 Call</t>
  </si>
  <si>
    <t>BANKNIFTY26JAN59800CE</t>
  </si>
  <si>
    <t>1700000079919450</t>
  </si>
  <si>
    <t>CGPOWER 27 Jan ₹670 Call</t>
  </si>
  <si>
    <t>CGPOWER26JAN670CE</t>
  </si>
  <si>
    <t>2200000083896319</t>
  </si>
  <si>
    <t>1767852712055047390</t>
  </si>
  <si>
    <t>SENSEX 15 Jan ₹84500 Call</t>
  </si>
  <si>
    <t>SENSEX2611584500CE</t>
  </si>
  <si>
    <t>1767859829108171811</t>
  </si>
  <si>
    <t>2300000021274978</t>
  </si>
  <si>
    <t>1700000202117890</t>
  </si>
  <si>
    <t>1700000208978574</t>
  </si>
  <si>
    <t>1000000309762801</t>
  </si>
  <si>
    <t>1300000370497291</t>
  </si>
  <si>
    <t>2200000160656814</t>
  </si>
  <si>
    <t>2200000029428903</t>
  </si>
  <si>
    <t>2700000195757831</t>
  </si>
  <si>
    <t>2500000311444162</t>
  </si>
  <si>
    <t>2700000310344837</t>
  </si>
  <si>
    <t>2000000193043808</t>
  </si>
  <si>
    <t>1400000333236468</t>
  </si>
  <si>
    <t>1900000211394092</t>
  </si>
  <si>
    <t>2400000242959009</t>
  </si>
  <si>
    <t>2300000319875476</t>
  </si>
  <si>
    <t>2200000241134556</t>
  </si>
  <si>
    <t>2200000241134321</t>
  </si>
  <si>
    <t>2200000241134781</t>
  </si>
  <si>
    <t>BANKNIFTY 24 Feb Fut</t>
  </si>
  <si>
    <t>BANKNIFTY26FEBFUT</t>
  </si>
  <si>
    <t>1800000020400599</t>
  </si>
  <si>
    <t>1800000061662531</t>
  </si>
  <si>
    <t>NIFTY 24 Feb Fut</t>
  </si>
  <si>
    <t>NIFTY26FEBFUT</t>
  </si>
  <si>
    <t>1000000139304670</t>
  </si>
  <si>
    <t>1000000357962907</t>
  </si>
  <si>
    <t>MIDCPNIFTY 24 Feb Fut</t>
  </si>
  <si>
    <t>MIDCPNIFTY26FEBFUT</t>
  </si>
  <si>
    <t>1900000274765239</t>
  </si>
  <si>
    <t>1900000298684011</t>
  </si>
  <si>
    <t>MARUTI 24 Feb Fut</t>
  </si>
  <si>
    <t>MARUTI26FEBFUT</t>
  </si>
  <si>
    <t>2700000289849391</t>
  </si>
  <si>
    <t>2700000297722980</t>
  </si>
  <si>
    <t>JSWSTEEL 24 Feb Fut</t>
  </si>
  <si>
    <t>JSWSTEEL26FEBFUT</t>
  </si>
  <si>
    <t>2400000002329657</t>
  </si>
  <si>
    <t>HINDZINC 24 Feb ₹730 Call</t>
  </si>
  <si>
    <t>HINDZINC26FEB730CE</t>
  </si>
  <si>
    <t>2200000062531367</t>
  </si>
  <si>
    <t>MIDCPNIFTY 24 Feb ₹13400 Call</t>
  </si>
  <si>
    <t>MIDCPNIFTY26FEB13400CE</t>
  </si>
  <si>
    <t>1700000005732017</t>
  </si>
  <si>
    <t>BANKNIFTY 24 Feb ₹59500 Call</t>
  </si>
  <si>
    <t>BANKNIFTY26FEB59500CE</t>
  </si>
  <si>
    <t>1800000014390158</t>
  </si>
  <si>
    <t>1800000056711258</t>
  </si>
  <si>
    <t>1700000169518066</t>
  </si>
  <si>
    <t>2400000159161974</t>
  </si>
  <si>
    <t>POWERGRID 24 Feb ₹265 Call</t>
  </si>
  <si>
    <t>POWERGRID26FEB265CE</t>
  </si>
  <si>
    <t>2300000195649570</t>
  </si>
  <si>
    <t>2000000005401294</t>
  </si>
  <si>
    <t>1700000025384084</t>
  </si>
  <si>
    <t>2000000134574175</t>
  </si>
  <si>
    <t>MARUTI 24 Feb ₹14500 Call</t>
  </si>
  <si>
    <t>MARUTI26FEB14500CE</t>
  </si>
  <si>
    <t>2000000170084311</t>
  </si>
  <si>
    <t>1700000140192723</t>
  </si>
  <si>
    <t>NIFTY 03 Feb ₹24900 Put</t>
  </si>
  <si>
    <t>NIFTY2620324900PE</t>
  </si>
  <si>
    <t>1100000203018175</t>
  </si>
  <si>
    <t>2000000243299281</t>
  </si>
  <si>
    <t>1900000236556799</t>
  </si>
  <si>
    <t>1100000293789527</t>
  </si>
  <si>
    <t>2300000189898939</t>
  </si>
  <si>
    <t>1900000001456538</t>
  </si>
  <si>
    <t>1900000023978989</t>
  </si>
  <si>
    <t>1900000246713559</t>
  </si>
  <si>
    <t>1800000144799834</t>
  </si>
  <si>
    <t>1800000158795971</t>
  </si>
  <si>
    <t>OBEROIRLTY 24 Feb Fut</t>
  </si>
  <si>
    <t>OBEROIRLTY26FEBFUT</t>
  </si>
  <si>
    <t>2500000003073958</t>
  </si>
  <si>
    <t>NIFTY 17 Feb ₹25650 Call</t>
  </si>
  <si>
    <t>NIFTY2621725650CE</t>
  </si>
  <si>
    <t>1200000035783465</t>
  </si>
  <si>
    <t>BHARTIARTL 24 Feb ₹2020 Call</t>
  </si>
  <si>
    <t>BHARTIARTL26FEB2020CE</t>
  </si>
  <si>
    <t>2400000043866079</t>
  </si>
  <si>
    <t>CANBK 24 Feb ₹150 Call</t>
  </si>
  <si>
    <t>CANBK26FEB150CE</t>
  </si>
  <si>
    <t>2200000086517127</t>
  </si>
  <si>
    <t>1200000000043146</t>
  </si>
  <si>
    <t>2400000000071886</t>
  </si>
  <si>
    <t>2200000016458515</t>
  </si>
  <si>
    <t>MIDCPNIFTY 24 Feb ₹13600 Call</t>
  </si>
  <si>
    <t>MIDCPNIFTY26FEB13600CE</t>
  </si>
  <si>
    <t>1700000046096074</t>
  </si>
  <si>
    <t>KOTAKBANK 24 Feb ₹420 Call</t>
  </si>
  <si>
    <t>KOTAKBANK26FEB420CE</t>
  </si>
  <si>
    <t>2400000097513764</t>
  </si>
  <si>
    <t>2400000111121718</t>
  </si>
  <si>
    <t>2400000150744343</t>
  </si>
  <si>
    <t>1700000204718150</t>
  </si>
  <si>
    <t>2500000168479195</t>
  </si>
  <si>
    <t>NIFTYNXT50 24 Feb Fut</t>
  </si>
  <si>
    <t>NIFTYNXT5026FEBFUT</t>
  </si>
  <si>
    <t>2000000231753527</t>
  </si>
  <si>
    <t>2000000290634195</t>
  </si>
  <si>
    <t>1900000036142362</t>
  </si>
  <si>
    <t>1900000159715944</t>
  </si>
  <si>
    <t>CDSL 24 Feb Fut</t>
  </si>
  <si>
    <t>CDSL26FEBFUT</t>
  </si>
  <si>
    <t>2200000087737167</t>
  </si>
  <si>
    <t>2200000121920048</t>
  </si>
  <si>
    <t>TCS 24 Feb Fut</t>
  </si>
  <si>
    <t>TCS26FEBFUT</t>
  </si>
  <si>
    <t>1900000104711574</t>
  </si>
  <si>
    <t>HDFCBANK 24 Feb Fut</t>
  </si>
  <si>
    <t>HDFCBANK26FEBFUT</t>
  </si>
  <si>
    <t>2200000070064326</t>
  </si>
  <si>
    <t>1900000247359153</t>
  </si>
  <si>
    <t>1900000025330568</t>
  </si>
  <si>
    <t>2200000055135395</t>
  </si>
  <si>
    <t>1900000210665503</t>
  </si>
  <si>
    <t>MARUTI 30 Mar Fut</t>
  </si>
  <si>
    <t>MARUTI26MARFUT</t>
  </si>
  <si>
    <t>2000000173065036</t>
  </si>
  <si>
    <t>TCS 30 Mar Fut</t>
  </si>
  <si>
    <t>TCS26MARFUT</t>
  </si>
  <si>
    <t>1900000249944385</t>
  </si>
  <si>
    <t>1900000355768659</t>
  </si>
  <si>
    <t>NIFTY 24 Feb ₹25600 Call</t>
  </si>
  <si>
    <t>NIFTY26FEB25600CE</t>
  </si>
  <si>
    <t>1100000009348355</t>
  </si>
  <si>
    <t>INFY 30 Mar Fut</t>
  </si>
  <si>
    <t>INFY26MARFUT</t>
  </si>
  <si>
    <t>2700000021902951</t>
  </si>
  <si>
    <t>BANKNIFTY 24 Feb ₹61000 Call</t>
  </si>
  <si>
    <t>BANKNIFTY26FEB61000CE</t>
  </si>
  <si>
    <t>1700000040031487</t>
  </si>
  <si>
    <t>1700000102783537</t>
  </si>
  <si>
    <t>1100000142915621</t>
  </si>
  <si>
    <t>2700000135181655</t>
  </si>
  <si>
    <t>INFY 24 Feb ₹1420 Call</t>
  </si>
  <si>
    <t>INFY26FEB1420CE</t>
  </si>
  <si>
    <t>2700000167756588</t>
  </si>
  <si>
    <t>2700000192378328</t>
  </si>
  <si>
    <t>NIFTY 24 Feb ₹25900 Call</t>
  </si>
  <si>
    <t>NIFTY26FEB25900CE</t>
  </si>
  <si>
    <t>1000000215565791</t>
  </si>
  <si>
    <t>2000000215024512</t>
  </si>
  <si>
    <t>NIFTY 30 Mar Fut</t>
  </si>
  <si>
    <t>NIFTY26MARFUT</t>
  </si>
  <si>
    <t>1000000015428394</t>
  </si>
  <si>
    <t>1000000230665283</t>
  </si>
  <si>
    <t>NIFTY 24 Feb ₹25750 Call</t>
  </si>
  <si>
    <t>NIFTY26FEB25750CE</t>
  </si>
  <si>
    <t>1400000242575520</t>
  </si>
  <si>
    <t>MIDCPNIFTY 30 Mar Fut</t>
  </si>
  <si>
    <t>MIDCPNIFTY26MARFUT</t>
  </si>
  <si>
    <t>1900000101197037</t>
  </si>
  <si>
    <t>NIFTYNXT50 24 Feb ₹69500 Call</t>
  </si>
  <si>
    <t>NIFTYNXT5026FEB69500CE</t>
  </si>
  <si>
    <t>2000000094882256</t>
  </si>
  <si>
    <t>NIFTY 24 Feb ₹25700 Call</t>
  </si>
  <si>
    <t>NIFTY26FEB25700CE</t>
  </si>
  <si>
    <t>1300000298509187</t>
  </si>
  <si>
    <t>1300000345995680</t>
  </si>
  <si>
    <t>2000000188328112</t>
  </si>
  <si>
    <t>NIFTY 02 Mar ₹25500 Call</t>
  </si>
  <si>
    <t>NIFTY2630225500CE</t>
  </si>
  <si>
    <t>1600000031374818</t>
  </si>
  <si>
    <t>NIFTYNXT50 24 Feb ₹69400 Call</t>
  </si>
  <si>
    <t>NIFTYNXT5026FEB69400CE</t>
  </si>
  <si>
    <t>1900000009842721</t>
  </si>
  <si>
    <t>NIFTY 02 Mar ₹25450 Call</t>
  </si>
  <si>
    <t>NIFTY2630225450CE</t>
  </si>
  <si>
    <t>1500000103684787</t>
  </si>
  <si>
    <t>BANKNIFTY 24 Feb ₹61200 Call</t>
  </si>
  <si>
    <t>BANKNIFTY26FEB61200CE</t>
  </si>
  <si>
    <t>1700000138769306</t>
  </si>
  <si>
    <t>SENSEX 26 Feb ₹82300 Call</t>
  </si>
  <si>
    <t>SENSEX26FEB82300CE</t>
  </si>
  <si>
    <t>1771917828802915413</t>
  </si>
  <si>
    <t>1900000267467374</t>
  </si>
  <si>
    <t>1400000346579879</t>
  </si>
  <si>
    <t>1771926472177566243</t>
  </si>
  <si>
    <t>1500000043868653</t>
  </si>
  <si>
    <t>1600000052020893</t>
  </si>
  <si>
    <t>SENSEX 26 Feb ₹82200 Call</t>
  </si>
  <si>
    <t>SENSEX26FEB82200CE</t>
  </si>
  <si>
    <t>1772005023461336211</t>
  </si>
  <si>
    <t>BANKNIFTY 30 Mar ₹61000 Call</t>
  </si>
  <si>
    <t>BANKNIFTY26MAR61000CE</t>
  </si>
  <si>
    <t>1700000137381666</t>
  </si>
  <si>
    <t>NIFTY 02 Mar ₹25400 Call</t>
  </si>
  <si>
    <t>NIFTY2630225400CE</t>
  </si>
  <si>
    <t>1400000198193168</t>
  </si>
  <si>
    <t>1400000222018544</t>
  </si>
  <si>
    <t>1700000184377420</t>
  </si>
  <si>
    <t>1900000309766318</t>
  </si>
  <si>
    <t>SENSEX 05 Mar ₹82200 Call</t>
  </si>
  <si>
    <t>SENSEX2630582200CE</t>
  </si>
  <si>
    <t>1772098796148610604</t>
  </si>
  <si>
    <t>1772099799830164133</t>
  </si>
  <si>
    <t>1772165970090074780</t>
  </si>
  <si>
    <t>BANKNIFTY 30 Mar ₹60500 Put</t>
  </si>
  <si>
    <t>BANKNIFTY26MAR60500PE</t>
  </si>
  <si>
    <t>1800000022309361</t>
  </si>
  <si>
    <t>1800000171415974</t>
  </si>
  <si>
    <t>ONGC 30 Mar ₹280 Call</t>
  </si>
  <si>
    <t>ONGC26MAR280CE</t>
  </si>
  <si>
    <t>2500000032149636</t>
  </si>
  <si>
    <t>2500000123687572</t>
  </si>
  <si>
    <t>ONGC 30 Mar ₹278.75 Call</t>
  </si>
  <si>
    <t>ONGC26MAR278.75CE</t>
  </si>
  <si>
    <t>2500000141719561</t>
  </si>
  <si>
    <t>2500000249087305</t>
  </si>
  <si>
    <t>NIFTYNXT50 30 Mar Fut</t>
  </si>
  <si>
    <t>NIFTYNXT5026MARFUT</t>
  </si>
  <si>
    <t>2000000032187270</t>
  </si>
  <si>
    <t>NATIONALUM 30 Mar ₹360 Call</t>
  </si>
  <si>
    <t>NATIONALUM26MAR360CE</t>
  </si>
  <si>
    <t>2600000095972027</t>
  </si>
  <si>
    <t>2600000235642580</t>
  </si>
  <si>
    <t>OIL 30 Mar ₹495 Call</t>
  </si>
  <si>
    <t>OIL26MAR495CE</t>
  </si>
  <si>
    <t>2500000200597461</t>
  </si>
  <si>
    <t>2000000033655084</t>
  </si>
  <si>
    <t>2500000034312117</t>
  </si>
  <si>
    <t>SENSEX 05 Mar ₹79500 Call</t>
  </si>
  <si>
    <t>SENSEX2630579500CE</t>
  </si>
  <si>
    <t>1772688199049430592</t>
  </si>
  <si>
    <t>NIFTY 10 Mar ₹24600 Call</t>
  </si>
  <si>
    <t>NIFTY2631024600CE</t>
  </si>
  <si>
    <t>1200000060493994</t>
  </si>
  <si>
    <t>1200000063552305</t>
  </si>
  <si>
    <t>1772690815022802191</t>
  </si>
  <si>
    <t>RBLBANK 30 Mar ₹310 Call</t>
  </si>
  <si>
    <t>RBLBANK26MAR310CE</t>
  </si>
  <si>
    <t>2500000070686141</t>
  </si>
  <si>
    <t>BANKNIFTY 30 Mar ₹58700 Call</t>
  </si>
  <si>
    <t>BANKNIFTY26MAR58700CE</t>
  </si>
  <si>
    <t>1800000058664020</t>
  </si>
  <si>
    <t>1800000073443831</t>
  </si>
  <si>
    <t>1200000134626752</t>
  </si>
  <si>
    <t>1772701891749378702</t>
  </si>
  <si>
    <t>NATIONALUM 30 Mar ₹380 Put</t>
  </si>
  <si>
    <t>NATIONALUM26MAR380PE</t>
  </si>
  <si>
    <t>2600000003041343</t>
  </si>
  <si>
    <t>BEL 30 Mar ₹470 Call</t>
  </si>
  <si>
    <t>BEL26MAR470CE</t>
  </si>
  <si>
    <t>2400000031382355</t>
  </si>
  <si>
    <t>BEL 30 Mar ₹500 Call</t>
  </si>
  <si>
    <t>BEL26MAR500CE</t>
  </si>
  <si>
    <t>2400000032669881</t>
  </si>
  <si>
    <t>2400000047225911</t>
  </si>
  <si>
    <t>BLUESTARCO 30 Mar Fut</t>
  </si>
  <si>
    <t>BLUESTARCO26MARFUT</t>
  </si>
  <si>
    <t>2400000066931057</t>
  </si>
  <si>
    <t>1200000053080741</t>
  </si>
  <si>
    <t>MIDCPNIFTY 30 Mar ₹13250 Call</t>
  </si>
  <si>
    <t>MIDCPNIFTY26MAR13250CE</t>
  </si>
  <si>
    <t>1900000107446195</t>
  </si>
  <si>
    <t>SHRIRAMFIN 30 Mar ₹1040 Call</t>
  </si>
  <si>
    <t>SHRIRAMFIN26MAR1040CE</t>
  </si>
  <si>
    <t>2100000132546820</t>
  </si>
  <si>
    <t>1900000170171436</t>
  </si>
  <si>
    <t>1200000107505507</t>
  </si>
  <si>
    <t>2400000212722912</t>
  </si>
  <si>
    <t>2500000008154522</t>
  </si>
  <si>
    <t>2600000011400634</t>
  </si>
  <si>
    <t>OIL 30 Mar ₹480 Call</t>
  </si>
  <si>
    <t>OIL26MAR480CE</t>
  </si>
  <si>
    <t>2500000015497768</t>
  </si>
  <si>
    <t>SOLARINDS 30 Mar Fut</t>
  </si>
  <si>
    <t>SOLARINDS26MARFUT</t>
  </si>
  <si>
    <t>1900000052785984</t>
  </si>
  <si>
    <t>2100000069584997</t>
  </si>
  <si>
    <t>NIFTY 17 Mar ₹24200 Call</t>
  </si>
  <si>
    <t>NIFTY2631724200CE</t>
  </si>
  <si>
    <t>1100000077292388</t>
  </si>
  <si>
    <t>1100000158247203</t>
  </si>
  <si>
    <t>NIFTY 17 Mar ₹24150 Call</t>
  </si>
  <si>
    <t>NIFTY2631724150CE</t>
  </si>
  <si>
    <t>1000000215210496</t>
  </si>
  <si>
    <t>1000000254969364</t>
  </si>
  <si>
    <t>RELIANCE 30 Mar ₹1420 Call</t>
  </si>
  <si>
    <t>RELIANCE26MAR1420CE</t>
  </si>
  <si>
    <t>2000000000880624</t>
  </si>
  <si>
    <t>RELIANCE 30 Mar ₹1400 Call</t>
  </si>
  <si>
    <t>RELIANCE26MAR1400CE</t>
  </si>
  <si>
    <t>2000000027719318</t>
  </si>
  <si>
    <t>SENSEX 12 Mar ₹76500 Call</t>
  </si>
  <si>
    <t>SENSEX2631276500CE</t>
  </si>
  <si>
    <t>1773298336239840939</t>
  </si>
  <si>
    <t>1773302652369460646</t>
  </si>
  <si>
    <t>NHPC 30 Mar ₹75 Call</t>
  </si>
  <si>
    <t>NHPC26MAR75CE</t>
  </si>
  <si>
    <t>2600000229297532</t>
  </si>
  <si>
    <t>2600000239363106</t>
  </si>
  <si>
    <t>SENSEX 12 Mar ₹76400 Call</t>
  </si>
  <si>
    <t>SENSEX2631276400CE</t>
  </si>
  <si>
    <t>1773305694597662088</t>
  </si>
  <si>
    <t>1773307603896710235</t>
  </si>
  <si>
    <t>SENSEX 19 Mar ₹76000 Call</t>
  </si>
  <si>
    <t>SENSEX2631976000CE</t>
  </si>
  <si>
    <t>1773307976332842462</t>
  </si>
  <si>
    <t>1773308987354311023</t>
  </si>
  <si>
    <t>1900000043371611</t>
  </si>
  <si>
    <t>2000000067235079</t>
  </si>
  <si>
    <t>2000000297339842</t>
  </si>
  <si>
    <t>2500000033300119</t>
  </si>
  <si>
    <t>2500000034773141</t>
  </si>
  <si>
    <t>2500000378064911</t>
  </si>
  <si>
    <t>Symbol</t>
  </si>
  <si>
    <t>&gt;=50%</t>
  </si>
  <si>
    <t>S.NO</t>
  </si>
  <si>
    <t>Category</t>
  </si>
  <si>
    <t>Purpose</t>
  </si>
  <si>
    <t>Instrument 
Type</t>
  </si>
  <si>
    <t>Instrument</t>
  </si>
  <si>
    <t>Qty</t>
  </si>
  <si>
    <t>Lot</t>
  </si>
  <si>
    <t>Buy 
Date</t>
  </si>
  <si>
    <t>Buy 
Price</t>
  </si>
  <si>
    <t>Buy 
Amount</t>
  </si>
  <si>
    <t>Sale
 Date</t>
  </si>
  <si>
    <t>Sale 
Price</t>
  </si>
  <si>
    <t xml:space="preserve">Sale 
Amount </t>
  </si>
  <si>
    <t>Profit 
Amount</t>
  </si>
  <si>
    <t>Profit %</t>
  </si>
  <si>
    <t>Broker</t>
  </si>
  <si>
    <t>Status</t>
  </si>
  <si>
    <t>RISK  
 1:2</t>
  </si>
  <si>
    <t>SL
(Max)</t>
  </si>
  <si>
    <t>Target</t>
  </si>
  <si>
    <t>Remarks</t>
  </si>
  <si>
    <t>Expected 
Profit</t>
  </si>
  <si>
    <t>No Of Days Invested</t>
  </si>
  <si>
    <t>P/L</t>
  </si>
  <si>
    <t>ACTION</t>
  </si>
  <si>
    <t>Max
Accepted Loss</t>
  </si>
  <si>
    <t>MTF Interest</t>
  </si>
  <si>
    <t>MTF 
Amount
70%</t>
  </si>
  <si>
    <t>Your
Investment
 Amount 
30%</t>
  </si>
  <si>
    <t>Equity</t>
  </si>
  <si>
    <t>Swing</t>
  </si>
  <si>
    <t>MTF</t>
  </si>
  <si>
    <t>DLF</t>
  </si>
  <si>
    <t>B</t>
  </si>
  <si>
    <t>Closed</t>
  </si>
  <si>
    <t>IDEA</t>
  </si>
  <si>
    <t>Long-term</t>
  </si>
  <si>
    <t>CASH</t>
  </si>
  <si>
    <t>Ola Electric</t>
  </si>
  <si>
    <t>Open</t>
  </si>
  <si>
    <t>Motherson Sumi Wiring</t>
  </si>
  <si>
    <t>TechM</t>
  </si>
  <si>
    <t>Eternal</t>
  </si>
  <si>
    <t>Z</t>
  </si>
  <si>
    <t>Adani Green Energy</t>
  </si>
  <si>
    <t xml:space="preserve">BSOFT </t>
  </si>
  <si>
    <t>TATA Steel</t>
  </si>
  <si>
    <t xml:space="preserve">Equity </t>
  </si>
  <si>
    <t>SBFC</t>
  </si>
  <si>
    <t>ANANTRAJ</t>
  </si>
  <si>
    <t>BSOFT</t>
  </si>
  <si>
    <t>CDSL</t>
  </si>
  <si>
    <t>DBREALTY</t>
  </si>
  <si>
    <t>HEIDELBERG</t>
  </si>
  <si>
    <t>INDGN</t>
  </si>
  <si>
    <t>JKIL</t>
  </si>
  <si>
    <t>NITINSPIN</t>
  </si>
  <si>
    <t>PITTIENG</t>
  </si>
  <si>
    <t>RENUKA</t>
  </si>
  <si>
    <t>FnO</t>
  </si>
  <si>
    <t>BTST</t>
  </si>
  <si>
    <t>Options</t>
  </si>
  <si>
    <t>AXISBANK25DEC1280CE</t>
  </si>
  <si>
    <t>BAJFINANCE25DEC1040CE</t>
  </si>
  <si>
    <t>ADANIENSOL25DECFUT</t>
  </si>
  <si>
    <t>FUTURES</t>
  </si>
  <si>
    <t>BAJAJ-AUTO25DECFUT</t>
  </si>
  <si>
    <t>ADANIENSOL25DEC1000CE</t>
  </si>
  <si>
    <t>HINDZINC25DEC495CE</t>
  </si>
  <si>
    <t>BDL25DEC1540CE</t>
  </si>
  <si>
    <t>BEL25DEC410CE</t>
  </si>
  <si>
    <t>ULTRACEMCO25DEC11600CE</t>
  </si>
  <si>
    <t>NIFTY25D0925800PE</t>
  </si>
  <si>
    <t>Actual Trades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</si>
</sst>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0.0%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b/>
      <sz val="20"/>
      <color theme="0" tint="-0.1499984740745262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</font>
    <font>
      <sz val="11"/>
      <color theme="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833C0B"/>
        <bgColor rgb="FF833C0B"/>
      </patternFill>
    </fill>
    <fill>
      <patternFill patternType="solid">
        <fgColor rgb="FFF7CAAC"/>
        <bgColor rgb="FFF7CAAC"/>
      </patternFill>
    </fill>
    <fill>
      <patternFill patternType="solid">
        <fgColor theme="9" tint="-0.499984740745262"/>
        <bgColor rgb="FF548135"/>
      </patternFill>
    </fill>
    <fill>
      <patternFill patternType="solid">
        <fgColor theme="9" tint="-0.499984740745262"/>
        <bgColor rgb="FF1E4E79"/>
      </patternFill>
    </fill>
    <fill>
      <patternFill patternType="solid">
        <fgColor theme="8" tint="-0.499984740745262"/>
        <bgColor rgb="FF548135"/>
      </patternFill>
    </fill>
    <fill>
      <patternFill patternType="solid">
        <fgColor theme="8" tint="-0.499984740745262"/>
        <bgColor theme="9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-0.499984740745262"/>
        <bgColor theme="5"/>
      </patternFill>
    </fill>
    <fill>
      <patternFill patternType="solid">
        <fgColor theme="9" tint="-0.499984740745262"/>
        <bgColor rgb="FFA8D08D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548135"/>
      </patternFill>
    </fill>
    <fill>
      <patternFill patternType="solid">
        <fgColor theme="0" tint="-0.14999847407452621"/>
        <b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7"/>
      </patternFill>
    </fill>
    <fill>
      <patternFill patternType="solid">
        <fgColor theme="0" tint="-0.14999847407452621"/>
        <bgColor rgb="FFC5E0B3"/>
      </patternFill>
    </fill>
    <fill>
      <patternFill patternType="solid">
        <fgColor theme="0" tint="-0.499984740745262"/>
        <bgColor rgb="FFC5E0B3"/>
      </patternFill>
    </fill>
    <fill>
      <patternFill patternType="solid">
        <fgColor rgb="FFC5E0B3"/>
        <bgColor rgb="FFC5E0B3"/>
      </patternFill>
    </fill>
    <fill>
      <patternFill patternType="solid">
        <fgColor theme="7"/>
        <bgColor rgb="FFC5E0B3"/>
      </patternFill>
    </fill>
    <fill>
      <patternFill patternType="solid">
        <fgColor theme="0" tint="-0.34998626667073579"/>
        <bgColor rgb="FFC5E0B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22" fontId="0" fillId="0" borderId="0" xfId="0" applyNumberFormat="1"/>
    <xf numFmtId="0" fontId="2" fillId="0" borderId="0" xfId="0" applyFont="1"/>
    <xf numFmtId="0" fontId="0" fillId="2" borderId="1" xfId="0" applyFill="1" applyBorder="1"/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9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2" xfId="0" applyFont="1" applyBorder="1"/>
    <xf numFmtId="9" fontId="8" fillId="0" borderId="2" xfId="0" applyNumberFormat="1" applyFont="1" applyBorder="1" applyAlignment="1">
      <alignment horizontal="center" vertical="center"/>
    </xf>
    <xf numFmtId="0" fontId="0" fillId="0" borderId="2" xfId="0" applyBorder="1"/>
    <xf numFmtId="9" fontId="4" fillId="0" borderId="2" xfId="0" applyNumberFormat="1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textRotation="90" wrapText="1"/>
    </xf>
    <xf numFmtId="0" fontId="9" fillId="5" borderId="2" xfId="0" applyFont="1" applyFill="1" applyBorder="1" applyAlignment="1">
      <alignment horizontal="center" vertical="center"/>
    </xf>
    <xf numFmtId="164" fontId="9" fillId="5" borderId="2" xfId="0" applyNumberFormat="1" applyFont="1" applyFill="1" applyBorder="1" applyAlignment="1">
      <alignment horizontal="center" vertical="center" wrapText="1"/>
    </xf>
    <xf numFmtId="2" fontId="9" fillId="5" borderId="2" xfId="0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165" fontId="9" fillId="5" borderId="2" xfId="0" applyNumberFormat="1" applyFont="1" applyFill="1" applyBorder="1" applyAlignment="1">
      <alignment horizontal="center" vertical="center" textRotation="90"/>
    </xf>
    <xf numFmtId="0" fontId="9" fillId="6" borderId="2" xfId="0" applyFont="1" applyFill="1" applyBorder="1" applyAlignment="1">
      <alignment horizontal="center" vertical="center" textRotation="90"/>
    </xf>
    <xf numFmtId="0" fontId="9" fillId="7" borderId="2" xfId="0" applyFont="1" applyFill="1" applyBorder="1" applyAlignment="1">
      <alignment horizontal="center" vertical="center" textRotation="90" wrapText="1"/>
    </xf>
    <xf numFmtId="0" fontId="9" fillId="7" borderId="3" xfId="0" applyFont="1" applyFill="1" applyBorder="1" applyAlignment="1">
      <alignment horizontal="center" vertical="center" textRotation="90" wrapText="1"/>
    </xf>
    <xf numFmtId="0" fontId="9" fillId="7" borderId="2" xfId="0" applyFont="1" applyFill="1" applyBorder="1" applyAlignment="1">
      <alignment horizontal="center" vertical="center" textRotation="90"/>
    </xf>
    <xf numFmtId="2" fontId="9" fillId="8" borderId="2" xfId="0" applyNumberFormat="1" applyFont="1" applyFill="1" applyBorder="1" applyAlignment="1">
      <alignment horizontal="center" vertical="center" textRotation="90" wrapText="1"/>
    </xf>
    <xf numFmtId="2" fontId="9" fillId="9" borderId="2" xfId="0" applyNumberFormat="1" applyFont="1" applyFill="1" applyBorder="1" applyAlignment="1">
      <alignment horizontal="center" vertical="center" textRotation="90" wrapText="1"/>
    </xf>
    <xf numFmtId="0" fontId="9" fillId="10" borderId="2" xfId="0" applyFont="1" applyFill="1" applyBorder="1" applyAlignment="1">
      <alignment horizontal="center" vertical="center" textRotation="90"/>
    </xf>
    <xf numFmtId="0" fontId="9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 textRotation="90" wrapText="1"/>
    </xf>
    <xf numFmtId="0" fontId="9" fillId="13" borderId="2" xfId="0" applyFont="1" applyFill="1" applyBorder="1" applyAlignment="1">
      <alignment horizontal="center" vertical="center" textRotation="90"/>
    </xf>
    <xf numFmtId="0" fontId="11" fillId="14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/>
    </xf>
    <xf numFmtId="164" fontId="3" fillId="16" borderId="2" xfId="0" applyNumberFormat="1" applyFont="1" applyFill="1" applyBorder="1" applyAlignment="1">
      <alignment horizontal="center"/>
    </xf>
    <xf numFmtId="2" fontId="3" fillId="16" borderId="2" xfId="0" applyNumberFormat="1" applyFont="1" applyFill="1" applyBorder="1" applyAlignment="1">
      <alignment horizontal="center"/>
    </xf>
    <xf numFmtId="0" fontId="0" fillId="16" borderId="2" xfId="0" applyFill="1" applyBorder="1" applyAlignment="1">
      <alignment horizontal="center" vertical="center"/>
    </xf>
    <xf numFmtId="2" fontId="12" fillId="17" borderId="2" xfId="0" applyNumberFormat="1" applyFont="1" applyFill="1" applyBorder="1" applyAlignment="1">
      <alignment horizontal="center" vertical="center"/>
    </xf>
    <xf numFmtId="165" fontId="12" fillId="17" borderId="2" xfId="0" applyNumberFormat="1" applyFont="1" applyFill="1" applyBorder="1" applyAlignment="1">
      <alignment horizontal="center" vertical="center"/>
    </xf>
    <xf numFmtId="0" fontId="0" fillId="16" borderId="2" xfId="0" applyFill="1" applyBorder="1"/>
    <xf numFmtId="2" fontId="3" fillId="16" borderId="2" xfId="0" applyNumberFormat="1" applyFont="1" applyFill="1" applyBorder="1" applyAlignment="1">
      <alignment horizontal="center" vertical="center"/>
    </xf>
    <xf numFmtId="2" fontId="3" fillId="15" borderId="2" xfId="0" applyNumberFormat="1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164" fontId="0" fillId="16" borderId="2" xfId="0" applyNumberForma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 wrapText="1"/>
    </xf>
    <xf numFmtId="164" fontId="8" fillId="16" borderId="2" xfId="0" applyNumberFormat="1" applyFont="1" applyFill="1" applyBorder="1" applyAlignment="1">
      <alignment horizontal="center"/>
    </xf>
    <xf numFmtId="0" fontId="8" fillId="20" borderId="2" xfId="0" applyFont="1" applyFill="1" applyBorder="1" applyAlignment="1">
      <alignment horizontal="center" vertical="center"/>
    </xf>
    <xf numFmtId="164" fontId="0" fillId="16" borderId="2" xfId="0" applyNumberFormat="1" applyFill="1" applyBorder="1"/>
    <xf numFmtId="0" fontId="1" fillId="16" borderId="2" xfId="0" applyFont="1" applyFill="1" applyBorder="1"/>
    <xf numFmtId="0" fontId="8" fillId="16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/>
    </xf>
    <xf numFmtId="0" fontId="8" fillId="16" borderId="2" xfId="0" applyFont="1" applyFill="1" applyBorder="1" applyAlignment="1">
      <alignment wrapText="1"/>
    </xf>
    <xf numFmtId="0" fontId="0" fillId="16" borderId="2" xfId="0" applyFill="1" applyBorder="1" applyAlignment="1">
      <alignment horizontal="left"/>
    </xf>
    <xf numFmtId="0" fontId="8" fillId="22" borderId="2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FFE598"/>
          <bgColor rgb="FFFFE598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/>
  </sheetViews>
  <sheetFormatPr defaultRowHeight="14.5" x14ac:dyDescent="0.35"/>
  <sheetData>
    <row r="1" spans="1:10" x14ac:dyDescent="0.35">
      <c r="A1" s="2" t="s">
        <v>0</v>
      </c>
    </row>
    <row r="3" spans="1:10" x14ac:dyDescent="0.35">
      <c r="A3" s="2" t="s">
        <v>1</v>
      </c>
      <c r="B3" t="s">
        <v>2</v>
      </c>
    </row>
    <row r="4" spans="1:10" x14ac:dyDescent="0.35">
      <c r="A4" s="2" t="s">
        <v>3</v>
      </c>
      <c r="B4" t="s">
        <v>4</v>
      </c>
    </row>
    <row r="5" spans="1:10" x14ac:dyDescent="0.35">
      <c r="A5" s="2" t="s">
        <v>5</v>
      </c>
      <c r="B5" t="s">
        <v>6</v>
      </c>
    </row>
    <row r="7" spans="1:10" x14ac:dyDescent="0.3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</row>
    <row r="8" spans="1:10" x14ac:dyDescent="0.35">
      <c r="A8" s="1">
        <v>45776.609722222223</v>
      </c>
      <c r="B8" t="s">
        <v>17</v>
      </c>
      <c r="C8" t="s">
        <v>18</v>
      </c>
      <c r="D8" t="s">
        <v>19</v>
      </c>
      <c r="E8" t="s">
        <v>20</v>
      </c>
      <c r="F8">
        <v>300</v>
      </c>
      <c r="G8">
        <v>317</v>
      </c>
      <c r="H8" t="s">
        <v>21</v>
      </c>
      <c r="I8" t="s">
        <v>22</v>
      </c>
      <c r="J8" t="s">
        <v>23</v>
      </c>
    </row>
    <row r="9" spans="1:10" x14ac:dyDescent="0.35">
      <c r="A9" s="1">
        <v>45819.448634259257</v>
      </c>
      <c r="B9" t="s">
        <v>24</v>
      </c>
      <c r="C9" t="s">
        <v>24</v>
      </c>
      <c r="D9" t="s">
        <v>25</v>
      </c>
      <c r="E9" t="s">
        <v>26</v>
      </c>
      <c r="F9">
        <v>1000</v>
      </c>
      <c r="G9">
        <v>42.29</v>
      </c>
      <c r="H9" t="s">
        <v>21</v>
      </c>
      <c r="I9" t="s">
        <v>27</v>
      </c>
      <c r="J9" t="s">
        <v>23</v>
      </c>
    </row>
    <row r="10" spans="1:10" x14ac:dyDescent="0.35">
      <c r="A10" s="1">
        <v>45819.457789351851</v>
      </c>
      <c r="B10" t="s">
        <v>24</v>
      </c>
      <c r="C10" t="s">
        <v>24</v>
      </c>
      <c r="D10" t="s">
        <v>25</v>
      </c>
      <c r="E10" t="s">
        <v>26</v>
      </c>
      <c r="F10">
        <v>100</v>
      </c>
      <c r="G10">
        <v>41.27</v>
      </c>
      <c r="H10" t="s">
        <v>21</v>
      </c>
      <c r="I10" t="s">
        <v>28</v>
      </c>
      <c r="J10" t="s">
        <v>23</v>
      </c>
    </row>
    <row r="11" spans="1:10" x14ac:dyDescent="0.35">
      <c r="A11" s="1">
        <v>45856.641562500001</v>
      </c>
      <c r="B11" t="s">
        <v>29</v>
      </c>
      <c r="C11" t="s">
        <v>30</v>
      </c>
      <c r="D11" t="s">
        <v>31</v>
      </c>
      <c r="E11" t="s">
        <v>20</v>
      </c>
      <c r="F11">
        <v>200</v>
      </c>
      <c r="G11">
        <v>262</v>
      </c>
      <c r="H11" t="s">
        <v>32</v>
      </c>
      <c r="I11" t="s">
        <v>33</v>
      </c>
      <c r="J11" t="s">
        <v>23</v>
      </c>
    </row>
    <row r="12" spans="1:10" x14ac:dyDescent="0.35">
      <c r="A12" s="1">
        <v>45908.641180555554</v>
      </c>
      <c r="B12" t="s">
        <v>24</v>
      </c>
      <c r="C12" t="s">
        <v>24</v>
      </c>
      <c r="D12" t="s">
        <v>25</v>
      </c>
      <c r="E12" t="s">
        <v>20</v>
      </c>
      <c r="F12">
        <v>1100</v>
      </c>
      <c r="G12">
        <v>43.43</v>
      </c>
      <c r="H12" t="s">
        <v>21</v>
      </c>
      <c r="I12" t="s">
        <v>34</v>
      </c>
      <c r="J12" t="s">
        <v>23</v>
      </c>
    </row>
    <row r="13" spans="1:10" x14ac:dyDescent="0.35">
      <c r="A13" s="1">
        <v>45959.617974537039</v>
      </c>
      <c r="B13" t="s">
        <v>35</v>
      </c>
      <c r="C13" t="s">
        <v>36</v>
      </c>
      <c r="D13" t="s">
        <v>37</v>
      </c>
      <c r="E13" t="s">
        <v>20</v>
      </c>
      <c r="F13">
        <v>1900</v>
      </c>
      <c r="G13">
        <v>52.148442105263165</v>
      </c>
      <c r="H13" t="s">
        <v>21</v>
      </c>
      <c r="I13" t="s">
        <v>38</v>
      </c>
      <c r="J13" t="s">
        <v>23</v>
      </c>
    </row>
    <row r="14" spans="1:10" x14ac:dyDescent="0.35">
      <c r="A14" s="1">
        <v>45995.469652777778</v>
      </c>
      <c r="B14" t="s">
        <v>39</v>
      </c>
      <c r="C14" t="s">
        <v>40</v>
      </c>
      <c r="D14" t="s">
        <v>41</v>
      </c>
      <c r="E14" t="s">
        <v>20</v>
      </c>
      <c r="F14">
        <v>71</v>
      </c>
      <c r="G14">
        <v>968.55000000000007</v>
      </c>
      <c r="H14" t="s">
        <v>21</v>
      </c>
      <c r="I14" t="s">
        <v>42</v>
      </c>
      <c r="J14" t="s">
        <v>23</v>
      </c>
    </row>
    <row r="15" spans="1:10" x14ac:dyDescent="0.35">
      <c r="A15" s="1">
        <v>46013.397199074076</v>
      </c>
      <c r="B15" t="s">
        <v>39</v>
      </c>
      <c r="C15" t="s">
        <v>40</v>
      </c>
      <c r="D15" t="s">
        <v>41</v>
      </c>
      <c r="E15" t="s">
        <v>20</v>
      </c>
      <c r="F15">
        <v>45</v>
      </c>
      <c r="G15">
        <v>995.72333333333324</v>
      </c>
      <c r="H15" t="s">
        <v>21</v>
      </c>
      <c r="I15" t="s">
        <v>43</v>
      </c>
      <c r="J15" t="s">
        <v>23</v>
      </c>
    </row>
    <row r="16" spans="1:10" x14ac:dyDescent="0.35">
      <c r="A16" s="1">
        <v>46022.520555555559</v>
      </c>
      <c r="B16" t="s">
        <v>39</v>
      </c>
      <c r="C16" t="s">
        <v>40</v>
      </c>
      <c r="D16" t="s">
        <v>41</v>
      </c>
      <c r="E16" t="s">
        <v>20</v>
      </c>
      <c r="F16">
        <v>20</v>
      </c>
      <c r="G16">
        <v>1016.8</v>
      </c>
      <c r="H16" t="s">
        <v>21</v>
      </c>
      <c r="I16" t="s">
        <v>44</v>
      </c>
      <c r="J16" t="s">
        <v>23</v>
      </c>
    </row>
    <row r="17" spans="1:10" x14ac:dyDescent="0.35">
      <c r="A17" s="1">
        <v>46044.43509259259</v>
      </c>
      <c r="B17" t="s">
        <v>45</v>
      </c>
      <c r="C17" t="s">
        <v>46</v>
      </c>
      <c r="D17" t="s">
        <v>47</v>
      </c>
      <c r="E17" t="s">
        <v>20</v>
      </c>
      <c r="F17">
        <v>250</v>
      </c>
      <c r="G17">
        <v>131.43</v>
      </c>
      <c r="H17" t="s">
        <v>21</v>
      </c>
      <c r="I17" t="s">
        <v>48</v>
      </c>
      <c r="J1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50"/>
  <sheetViews>
    <sheetView topLeftCell="A304" workbookViewId="0">
      <selection activeCell="A4" sqref="A4"/>
    </sheetView>
  </sheetViews>
  <sheetFormatPr defaultRowHeight="14.5" x14ac:dyDescent="0.35"/>
  <cols>
    <col min="1" max="1" width="35.26953125" customWidth="1"/>
    <col min="3" max="3" width="25.1796875" bestFit="1" customWidth="1"/>
    <col min="10" max="10" width="11.7265625" bestFit="1" customWidth="1"/>
  </cols>
  <sheetData>
    <row r="1" spans="1:10" x14ac:dyDescent="0.35">
      <c r="A1" s="2" t="s">
        <v>49</v>
      </c>
    </row>
    <row r="3" spans="1:10" x14ac:dyDescent="0.35">
      <c r="A3" s="2" t="s">
        <v>1</v>
      </c>
      <c r="B3" t="s">
        <v>2</v>
      </c>
    </row>
    <row r="4" spans="1:10" x14ac:dyDescent="0.35">
      <c r="A4" s="2" t="s">
        <v>3</v>
      </c>
      <c r="B4" t="s">
        <v>4</v>
      </c>
    </row>
    <row r="5" spans="1:10" x14ac:dyDescent="0.35">
      <c r="A5" s="2" t="s">
        <v>5</v>
      </c>
      <c r="B5" t="s">
        <v>6</v>
      </c>
    </row>
    <row r="7" spans="1:10" x14ac:dyDescent="0.35">
      <c r="A7" s="2" t="s">
        <v>7</v>
      </c>
      <c r="B7" s="2" t="s">
        <v>8</v>
      </c>
      <c r="C7" s="2" t="s">
        <v>9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3" t="s">
        <v>1447</v>
      </c>
    </row>
    <row r="8" spans="1:10" x14ac:dyDescent="0.35">
      <c r="A8" s="1">
        <v>45776.64571759259</v>
      </c>
      <c r="B8" t="s">
        <v>50</v>
      </c>
      <c r="C8" t="s">
        <v>51</v>
      </c>
      <c r="D8" t="s">
        <v>26</v>
      </c>
      <c r="E8">
        <v>100</v>
      </c>
      <c r="F8">
        <v>100.5</v>
      </c>
      <c r="G8" t="s">
        <v>21</v>
      </c>
      <c r="H8" t="s">
        <v>52</v>
      </c>
      <c r="I8" t="s">
        <v>23</v>
      </c>
      <c r="J8" s="4" t="str">
        <f>LEFT(B8,FIND(" ",B8)-1)</f>
        <v>TRENT</v>
      </c>
    </row>
    <row r="9" spans="1:10" x14ac:dyDescent="0.35">
      <c r="A9" s="1">
        <v>45777.390810185185</v>
      </c>
      <c r="B9" t="s">
        <v>53</v>
      </c>
      <c r="C9" t="s">
        <v>54</v>
      </c>
      <c r="D9" t="s">
        <v>26</v>
      </c>
      <c r="E9">
        <v>2850</v>
      </c>
      <c r="F9">
        <v>8.6</v>
      </c>
      <c r="G9" t="s">
        <v>21</v>
      </c>
      <c r="H9" t="s">
        <v>55</v>
      </c>
      <c r="I9" t="s">
        <v>23</v>
      </c>
      <c r="J9" s="4" t="str">
        <f t="shared" ref="J9:J72" si="0">LEFT(B9,FIND(" ",B9)-1)</f>
        <v>BEL</v>
      </c>
    </row>
    <row r="10" spans="1:10" x14ac:dyDescent="0.35">
      <c r="A10" s="1">
        <v>45785.626817129632</v>
      </c>
      <c r="B10" t="s">
        <v>56</v>
      </c>
      <c r="C10" t="s">
        <v>57</v>
      </c>
      <c r="D10" t="s">
        <v>26</v>
      </c>
      <c r="E10">
        <v>75</v>
      </c>
      <c r="F10">
        <v>88.4</v>
      </c>
      <c r="G10" t="s">
        <v>21</v>
      </c>
      <c r="H10" t="s">
        <v>58</v>
      </c>
      <c r="I10" t="s">
        <v>23</v>
      </c>
      <c r="J10" s="4" t="str">
        <f t="shared" si="0"/>
        <v>NIFTY</v>
      </c>
    </row>
    <row r="11" spans="1:10" x14ac:dyDescent="0.35">
      <c r="A11" s="1">
        <v>45785.637523148151</v>
      </c>
      <c r="B11" t="s">
        <v>56</v>
      </c>
      <c r="C11" t="s">
        <v>57</v>
      </c>
      <c r="D11" t="s">
        <v>20</v>
      </c>
      <c r="E11">
        <v>75</v>
      </c>
      <c r="F11">
        <v>92.65</v>
      </c>
      <c r="G11" t="s">
        <v>21</v>
      </c>
      <c r="H11" t="s">
        <v>59</v>
      </c>
      <c r="I11" t="s">
        <v>23</v>
      </c>
      <c r="J11" s="4" t="str">
        <f t="shared" si="0"/>
        <v>NIFTY</v>
      </c>
    </row>
    <row r="12" spans="1:10" x14ac:dyDescent="0.35">
      <c r="A12" s="1">
        <v>45785.644791666666</v>
      </c>
      <c r="B12" t="s">
        <v>60</v>
      </c>
      <c r="C12" t="s">
        <v>61</v>
      </c>
      <c r="D12" t="s">
        <v>26</v>
      </c>
      <c r="E12">
        <v>75</v>
      </c>
      <c r="F12">
        <v>99.25</v>
      </c>
      <c r="G12" t="s">
        <v>21</v>
      </c>
      <c r="H12" t="s">
        <v>62</v>
      </c>
      <c r="I12" t="s">
        <v>23</v>
      </c>
      <c r="J12" s="4" t="str">
        <f t="shared" si="0"/>
        <v>NIFTY</v>
      </c>
    </row>
    <row r="13" spans="1:10" x14ac:dyDescent="0.35">
      <c r="A13" s="1">
        <v>45786.385462962964</v>
      </c>
      <c r="B13" t="s">
        <v>60</v>
      </c>
      <c r="C13" t="s">
        <v>61</v>
      </c>
      <c r="D13" t="s">
        <v>20</v>
      </c>
      <c r="E13">
        <v>75</v>
      </c>
      <c r="F13">
        <v>57.9</v>
      </c>
      <c r="G13" t="s">
        <v>21</v>
      </c>
      <c r="H13" t="s">
        <v>63</v>
      </c>
      <c r="I13" t="s">
        <v>23</v>
      </c>
      <c r="J13" s="4" t="str">
        <f t="shared" si="0"/>
        <v>NIFTY</v>
      </c>
    </row>
    <row r="14" spans="1:10" x14ac:dyDescent="0.35">
      <c r="A14" s="1">
        <v>45786.408726851849</v>
      </c>
      <c r="B14" t="s">
        <v>53</v>
      </c>
      <c r="C14" t="s">
        <v>54</v>
      </c>
      <c r="D14" t="s">
        <v>20</v>
      </c>
      <c r="E14">
        <v>2850</v>
      </c>
      <c r="F14">
        <v>9.1</v>
      </c>
      <c r="G14" t="s">
        <v>21</v>
      </c>
      <c r="H14" t="s">
        <v>64</v>
      </c>
      <c r="I14" t="s">
        <v>23</v>
      </c>
      <c r="J14" s="4" t="str">
        <f t="shared" si="0"/>
        <v>BEL</v>
      </c>
    </row>
    <row r="15" spans="1:10" x14ac:dyDescent="0.35">
      <c r="A15" s="1">
        <v>45786.428715277776</v>
      </c>
      <c r="B15" t="s">
        <v>65</v>
      </c>
      <c r="C15" t="s">
        <v>66</v>
      </c>
      <c r="D15" t="s">
        <v>26</v>
      </c>
      <c r="E15">
        <v>500</v>
      </c>
      <c r="F15">
        <v>52.15</v>
      </c>
      <c r="G15" t="s">
        <v>21</v>
      </c>
      <c r="H15" t="s">
        <v>67</v>
      </c>
      <c r="I15" t="s">
        <v>23</v>
      </c>
      <c r="J15" s="4" t="str">
        <f t="shared" si="0"/>
        <v>BHARATFORG</v>
      </c>
    </row>
    <row r="16" spans="1:10" x14ac:dyDescent="0.35">
      <c r="A16" s="1">
        <v>45786.434074074074</v>
      </c>
      <c r="B16" t="s">
        <v>65</v>
      </c>
      <c r="C16" t="s">
        <v>66</v>
      </c>
      <c r="D16" t="s">
        <v>20</v>
      </c>
      <c r="E16">
        <v>500</v>
      </c>
      <c r="F16">
        <v>55.45</v>
      </c>
      <c r="G16" t="s">
        <v>21</v>
      </c>
      <c r="H16" t="s">
        <v>68</v>
      </c>
      <c r="I16" t="s">
        <v>23</v>
      </c>
      <c r="J16" s="4" t="str">
        <f t="shared" si="0"/>
        <v>BHARATFORG</v>
      </c>
    </row>
    <row r="17" spans="1:10" x14ac:dyDescent="0.35">
      <c r="A17" s="1">
        <v>45786.450694444444</v>
      </c>
      <c r="B17" t="s">
        <v>65</v>
      </c>
      <c r="C17" t="s">
        <v>66</v>
      </c>
      <c r="D17" t="s">
        <v>26</v>
      </c>
      <c r="E17">
        <v>500</v>
      </c>
      <c r="F17">
        <v>47.6</v>
      </c>
      <c r="G17" t="s">
        <v>21</v>
      </c>
      <c r="H17" t="s">
        <v>69</v>
      </c>
      <c r="I17" t="s">
        <v>23</v>
      </c>
      <c r="J17" s="4" t="str">
        <f t="shared" si="0"/>
        <v>BHARATFORG</v>
      </c>
    </row>
    <row r="18" spans="1:10" x14ac:dyDescent="0.35">
      <c r="A18" s="1">
        <v>45786.482048611113</v>
      </c>
      <c r="B18" t="s">
        <v>65</v>
      </c>
      <c r="C18" t="s">
        <v>66</v>
      </c>
      <c r="D18" t="s">
        <v>20</v>
      </c>
      <c r="E18">
        <v>500</v>
      </c>
      <c r="F18">
        <v>50.15</v>
      </c>
      <c r="G18" t="s">
        <v>21</v>
      </c>
      <c r="H18" t="s">
        <v>70</v>
      </c>
      <c r="I18" t="s">
        <v>23</v>
      </c>
      <c r="J18" s="4" t="str">
        <f t="shared" si="0"/>
        <v>BHARATFORG</v>
      </c>
    </row>
    <row r="19" spans="1:10" x14ac:dyDescent="0.35">
      <c r="A19" s="1">
        <v>45790.499189814815</v>
      </c>
      <c r="B19" t="s">
        <v>71</v>
      </c>
      <c r="C19" t="s">
        <v>72</v>
      </c>
      <c r="D19" t="s">
        <v>26</v>
      </c>
      <c r="E19">
        <v>75</v>
      </c>
      <c r="F19">
        <v>172.7</v>
      </c>
      <c r="G19" t="s">
        <v>21</v>
      </c>
      <c r="H19" t="s">
        <v>73</v>
      </c>
      <c r="I19" t="s">
        <v>23</v>
      </c>
      <c r="J19" s="4" t="str">
        <f t="shared" si="0"/>
        <v>NIFTY</v>
      </c>
    </row>
    <row r="20" spans="1:10" x14ac:dyDescent="0.35">
      <c r="A20" s="1">
        <v>45792.563923611109</v>
      </c>
      <c r="B20" t="s">
        <v>71</v>
      </c>
      <c r="C20" t="s">
        <v>72</v>
      </c>
      <c r="D20" t="s">
        <v>20</v>
      </c>
      <c r="E20">
        <v>75</v>
      </c>
      <c r="F20">
        <v>198.3</v>
      </c>
      <c r="G20" t="s">
        <v>21</v>
      </c>
      <c r="H20" t="s">
        <v>74</v>
      </c>
      <c r="I20" t="s">
        <v>23</v>
      </c>
      <c r="J20" s="4" t="str">
        <f t="shared" si="0"/>
        <v>NIFTY</v>
      </c>
    </row>
    <row r="21" spans="1:10" x14ac:dyDescent="0.35">
      <c r="A21" s="1">
        <v>45800.5159375</v>
      </c>
      <c r="B21" t="s">
        <v>50</v>
      </c>
      <c r="C21" t="s">
        <v>51</v>
      </c>
      <c r="D21" t="s">
        <v>20</v>
      </c>
      <c r="E21">
        <v>100</v>
      </c>
      <c r="F21">
        <v>6.1</v>
      </c>
      <c r="G21" t="s">
        <v>21</v>
      </c>
      <c r="H21" t="s">
        <v>75</v>
      </c>
      <c r="I21" t="s">
        <v>23</v>
      </c>
      <c r="J21" s="4" t="str">
        <f t="shared" si="0"/>
        <v>TRENT</v>
      </c>
    </row>
    <row r="22" spans="1:10" x14ac:dyDescent="0.35">
      <c r="A22" s="1">
        <v>45804.465879629628</v>
      </c>
      <c r="B22" t="s">
        <v>76</v>
      </c>
      <c r="C22" t="s">
        <v>77</v>
      </c>
      <c r="D22" t="s">
        <v>26</v>
      </c>
      <c r="E22">
        <v>150</v>
      </c>
      <c r="F22">
        <v>203.2</v>
      </c>
      <c r="G22" t="s">
        <v>21</v>
      </c>
      <c r="H22" t="s">
        <v>78</v>
      </c>
      <c r="I22" t="s">
        <v>23</v>
      </c>
      <c r="J22" s="4" t="str">
        <f t="shared" si="0"/>
        <v>HAL</v>
      </c>
    </row>
    <row r="23" spans="1:10" x14ac:dyDescent="0.35">
      <c r="A23" s="1">
        <v>45806.602650462963</v>
      </c>
      <c r="B23" t="s">
        <v>79</v>
      </c>
      <c r="C23" t="s">
        <v>80</v>
      </c>
      <c r="D23" t="s">
        <v>26</v>
      </c>
      <c r="E23">
        <v>225</v>
      </c>
      <c r="F23">
        <v>97.25</v>
      </c>
      <c r="G23" t="s">
        <v>21</v>
      </c>
      <c r="H23" t="s">
        <v>81</v>
      </c>
      <c r="I23" t="s">
        <v>23</v>
      </c>
      <c r="J23" s="4" t="str">
        <f t="shared" si="0"/>
        <v>GODREJPROP</v>
      </c>
    </row>
    <row r="24" spans="1:10" x14ac:dyDescent="0.35">
      <c r="A24" s="1">
        <v>45807.578148148146</v>
      </c>
      <c r="B24" t="s">
        <v>79</v>
      </c>
      <c r="C24" t="s">
        <v>80</v>
      </c>
      <c r="D24" t="s">
        <v>20</v>
      </c>
      <c r="E24">
        <v>225</v>
      </c>
      <c r="F24">
        <v>97.8</v>
      </c>
      <c r="G24" t="s">
        <v>21</v>
      </c>
      <c r="H24" t="s">
        <v>82</v>
      </c>
      <c r="I24" t="s">
        <v>23</v>
      </c>
      <c r="J24" s="4" t="str">
        <f t="shared" si="0"/>
        <v>GODREJPROP</v>
      </c>
    </row>
    <row r="25" spans="1:10" x14ac:dyDescent="0.35">
      <c r="A25" s="1">
        <v>45810.608773148146</v>
      </c>
      <c r="B25" t="s">
        <v>83</v>
      </c>
      <c r="C25" t="s">
        <v>84</v>
      </c>
      <c r="D25" t="s">
        <v>26</v>
      </c>
      <c r="E25">
        <v>75</v>
      </c>
      <c r="F25">
        <v>141.65</v>
      </c>
      <c r="G25" t="s">
        <v>21</v>
      </c>
      <c r="H25" t="s">
        <v>85</v>
      </c>
      <c r="I25" t="s">
        <v>23</v>
      </c>
      <c r="J25" s="4" t="str">
        <f t="shared" si="0"/>
        <v>NIFTY</v>
      </c>
    </row>
    <row r="26" spans="1:10" x14ac:dyDescent="0.35">
      <c r="A26" s="1">
        <v>45810.635787037034</v>
      </c>
      <c r="B26" t="s">
        <v>83</v>
      </c>
      <c r="C26" t="s">
        <v>84</v>
      </c>
      <c r="D26" t="s">
        <v>20</v>
      </c>
      <c r="E26">
        <v>75</v>
      </c>
      <c r="F26">
        <v>157.19999999999999</v>
      </c>
      <c r="G26" t="s">
        <v>21</v>
      </c>
      <c r="H26" t="s">
        <v>86</v>
      </c>
      <c r="I26" t="s">
        <v>23</v>
      </c>
      <c r="J26" s="4" t="str">
        <f t="shared" si="0"/>
        <v>NIFTY</v>
      </c>
    </row>
    <row r="27" spans="1:10" x14ac:dyDescent="0.35">
      <c r="A27" s="1">
        <v>45811.400520833333</v>
      </c>
      <c r="B27" t="s">
        <v>83</v>
      </c>
      <c r="C27" t="s">
        <v>84</v>
      </c>
      <c r="D27" t="s">
        <v>26</v>
      </c>
      <c r="E27">
        <v>75</v>
      </c>
      <c r="F27">
        <v>149.4</v>
      </c>
      <c r="G27" t="s">
        <v>21</v>
      </c>
      <c r="H27" t="s">
        <v>87</v>
      </c>
      <c r="I27" t="s">
        <v>23</v>
      </c>
      <c r="J27" s="4" t="str">
        <f t="shared" si="0"/>
        <v>NIFTY</v>
      </c>
    </row>
    <row r="28" spans="1:10" x14ac:dyDescent="0.35">
      <c r="A28" s="1">
        <v>45811.437835648147</v>
      </c>
      <c r="B28" t="s">
        <v>83</v>
      </c>
      <c r="C28" t="s">
        <v>84</v>
      </c>
      <c r="D28" t="s">
        <v>20</v>
      </c>
      <c r="E28">
        <v>75</v>
      </c>
      <c r="F28">
        <v>164.35</v>
      </c>
      <c r="G28" t="s">
        <v>21</v>
      </c>
      <c r="H28" t="s">
        <v>88</v>
      </c>
      <c r="I28" t="s">
        <v>23</v>
      </c>
      <c r="J28" s="4" t="str">
        <f t="shared" si="0"/>
        <v>NIFTY</v>
      </c>
    </row>
    <row r="29" spans="1:10" x14ac:dyDescent="0.35">
      <c r="A29" s="1">
        <v>45811.4455787037</v>
      </c>
      <c r="B29" t="s">
        <v>89</v>
      </c>
      <c r="C29" t="s">
        <v>90</v>
      </c>
      <c r="D29" t="s">
        <v>26</v>
      </c>
      <c r="E29">
        <v>75</v>
      </c>
      <c r="F29">
        <v>173.5</v>
      </c>
      <c r="G29" t="s">
        <v>21</v>
      </c>
      <c r="H29" t="s">
        <v>91</v>
      </c>
      <c r="I29" t="s">
        <v>23</v>
      </c>
      <c r="J29" s="4" t="str">
        <f t="shared" si="0"/>
        <v>NIFTY</v>
      </c>
    </row>
    <row r="30" spans="1:10" x14ac:dyDescent="0.35">
      <c r="A30" s="1">
        <v>45811.4455787037</v>
      </c>
      <c r="B30" t="s">
        <v>89</v>
      </c>
      <c r="C30" t="s">
        <v>90</v>
      </c>
      <c r="D30" t="s">
        <v>26</v>
      </c>
      <c r="E30">
        <v>75</v>
      </c>
      <c r="F30">
        <v>173.55</v>
      </c>
      <c r="G30" t="s">
        <v>21</v>
      </c>
      <c r="H30" t="s">
        <v>92</v>
      </c>
      <c r="I30" t="s">
        <v>23</v>
      </c>
      <c r="J30" s="4" t="str">
        <f t="shared" si="0"/>
        <v>NIFTY</v>
      </c>
    </row>
    <row r="31" spans="1:10" x14ac:dyDescent="0.35">
      <c r="A31" s="1">
        <v>45811.559166666666</v>
      </c>
      <c r="B31" t="s">
        <v>89</v>
      </c>
      <c r="C31" t="s">
        <v>90</v>
      </c>
      <c r="D31" t="s">
        <v>20</v>
      </c>
      <c r="E31">
        <v>75</v>
      </c>
      <c r="F31">
        <v>103.35</v>
      </c>
      <c r="G31" t="s">
        <v>21</v>
      </c>
      <c r="H31" t="s">
        <v>93</v>
      </c>
      <c r="I31" t="s">
        <v>23</v>
      </c>
      <c r="J31" s="4" t="str">
        <f t="shared" si="0"/>
        <v>NIFTY</v>
      </c>
    </row>
    <row r="32" spans="1:10" x14ac:dyDescent="0.35">
      <c r="A32" s="1">
        <v>45811.571875000001</v>
      </c>
      <c r="B32" t="s">
        <v>89</v>
      </c>
      <c r="C32" t="s">
        <v>90</v>
      </c>
      <c r="D32" t="s">
        <v>20</v>
      </c>
      <c r="E32">
        <v>75</v>
      </c>
      <c r="F32">
        <v>89.75</v>
      </c>
      <c r="G32" t="s">
        <v>21</v>
      </c>
      <c r="H32" t="s">
        <v>94</v>
      </c>
      <c r="I32" t="s">
        <v>23</v>
      </c>
      <c r="J32" s="4" t="str">
        <f t="shared" si="0"/>
        <v>NIFTY</v>
      </c>
    </row>
    <row r="33" spans="1:10" x14ac:dyDescent="0.35">
      <c r="A33" s="1">
        <v>45812.492106481484</v>
      </c>
      <c r="B33" t="s">
        <v>95</v>
      </c>
      <c r="C33" t="s">
        <v>96</v>
      </c>
      <c r="D33" t="s">
        <v>26</v>
      </c>
      <c r="E33">
        <v>350</v>
      </c>
      <c r="F33">
        <v>69.5</v>
      </c>
      <c r="G33" t="s">
        <v>21</v>
      </c>
      <c r="H33" t="s">
        <v>97</v>
      </c>
      <c r="I33" t="s">
        <v>23</v>
      </c>
      <c r="J33" s="4" t="str">
        <f t="shared" si="0"/>
        <v>CDSL</v>
      </c>
    </row>
    <row r="34" spans="1:10" x14ac:dyDescent="0.35">
      <c r="A34" s="1">
        <v>45813.409085648149</v>
      </c>
      <c r="B34" t="s">
        <v>95</v>
      </c>
      <c r="C34" t="s">
        <v>96</v>
      </c>
      <c r="D34" t="s">
        <v>20</v>
      </c>
      <c r="E34">
        <v>350</v>
      </c>
      <c r="F34">
        <v>81.099999999999994</v>
      </c>
      <c r="G34" t="s">
        <v>21</v>
      </c>
      <c r="H34" t="s">
        <v>98</v>
      </c>
      <c r="I34" t="s">
        <v>23</v>
      </c>
      <c r="J34" s="4" t="str">
        <f t="shared" si="0"/>
        <v>CDSL</v>
      </c>
    </row>
    <row r="35" spans="1:10" x14ac:dyDescent="0.35">
      <c r="A35" s="1">
        <v>45813.418449074074</v>
      </c>
      <c r="B35" t="s">
        <v>79</v>
      </c>
      <c r="C35" t="s">
        <v>80</v>
      </c>
      <c r="D35" t="s">
        <v>26</v>
      </c>
      <c r="E35">
        <v>225</v>
      </c>
      <c r="F35">
        <v>92.35</v>
      </c>
      <c r="G35" t="s">
        <v>21</v>
      </c>
      <c r="H35" t="s">
        <v>99</v>
      </c>
      <c r="I35" t="s">
        <v>23</v>
      </c>
      <c r="J35" s="4" t="str">
        <f t="shared" si="0"/>
        <v>GODREJPROP</v>
      </c>
    </row>
    <row r="36" spans="1:10" x14ac:dyDescent="0.35">
      <c r="A36" s="1">
        <v>45813.452048611114</v>
      </c>
      <c r="B36" t="s">
        <v>79</v>
      </c>
      <c r="C36" t="s">
        <v>80</v>
      </c>
      <c r="D36" t="s">
        <v>20</v>
      </c>
      <c r="E36">
        <v>225</v>
      </c>
      <c r="F36">
        <v>110.9</v>
      </c>
      <c r="G36" t="s">
        <v>21</v>
      </c>
      <c r="H36" t="s">
        <v>100</v>
      </c>
      <c r="I36" t="s">
        <v>23</v>
      </c>
      <c r="J36" s="4" t="str">
        <f t="shared" si="0"/>
        <v>GODREJPROP</v>
      </c>
    </row>
    <row r="37" spans="1:10" x14ac:dyDescent="0.35">
      <c r="A37" s="1">
        <v>45813.56354166667</v>
      </c>
      <c r="B37" t="s">
        <v>101</v>
      </c>
      <c r="C37" t="s">
        <v>102</v>
      </c>
      <c r="D37" t="s">
        <v>26</v>
      </c>
      <c r="E37">
        <v>75</v>
      </c>
      <c r="F37">
        <v>105</v>
      </c>
      <c r="G37" t="s">
        <v>21</v>
      </c>
      <c r="H37" t="s">
        <v>103</v>
      </c>
      <c r="I37" t="s">
        <v>23</v>
      </c>
      <c r="J37" s="4" t="str">
        <f t="shared" si="0"/>
        <v>NIFTY</v>
      </c>
    </row>
    <row r="38" spans="1:10" x14ac:dyDescent="0.35">
      <c r="A38" s="1">
        <v>45813.584976851853</v>
      </c>
      <c r="B38" t="s">
        <v>101</v>
      </c>
      <c r="C38" t="s">
        <v>102</v>
      </c>
      <c r="D38" t="s">
        <v>20</v>
      </c>
      <c r="E38">
        <v>75</v>
      </c>
      <c r="F38">
        <v>99.05</v>
      </c>
      <c r="G38" t="s">
        <v>21</v>
      </c>
      <c r="H38" t="s">
        <v>104</v>
      </c>
      <c r="I38" t="s">
        <v>23</v>
      </c>
      <c r="J38" s="4" t="str">
        <f t="shared" si="0"/>
        <v>NIFTY</v>
      </c>
    </row>
    <row r="39" spans="1:10" x14ac:dyDescent="0.35">
      <c r="A39" s="1">
        <v>45813.633981481478</v>
      </c>
      <c r="B39" t="s">
        <v>105</v>
      </c>
      <c r="C39" t="s">
        <v>106</v>
      </c>
      <c r="D39" t="s">
        <v>26</v>
      </c>
      <c r="E39">
        <v>375</v>
      </c>
      <c r="F39">
        <v>34</v>
      </c>
      <c r="G39" t="s">
        <v>21</v>
      </c>
      <c r="H39" t="s">
        <v>107</v>
      </c>
      <c r="I39" t="s">
        <v>23</v>
      </c>
      <c r="J39" s="4" t="str">
        <f t="shared" si="0"/>
        <v>COFORGE</v>
      </c>
    </row>
    <row r="40" spans="1:10" x14ac:dyDescent="0.35">
      <c r="A40" s="1">
        <v>45814.443576388891</v>
      </c>
      <c r="B40" t="s">
        <v>108</v>
      </c>
      <c r="C40" t="s">
        <v>109</v>
      </c>
      <c r="D40" t="s">
        <v>26</v>
      </c>
      <c r="E40">
        <v>350</v>
      </c>
      <c r="F40">
        <v>58.2</v>
      </c>
      <c r="G40" t="s">
        <v>21</v>
      </c>
      <c r="H40" t="s">
        <v>110</v>
      </c>
      <c r="I40" t="s">
        <v>23</v>
      </c>
      <c r="J40" s="4" t="str">
        <f t="shared" si="0"/>
        <v>CDSL</v>
      </c>
    </row>
    <row r="41" spans="1:10" x14ac:dyDescent="0.35">
      <c r="A41" s="1">
        <v>45814.617268518516</v>
      </c>
      <c r="B41" t="s">
        <v>105</v>
      </c>
      <c r="C41" t="s">
        <v>106</v>
      </c>
      <c r="D41" t="s">
        <v>20</v>
      </c>
      <c r="E41">
        <v>375</v>
      </c>
      <c r="F41">
        <v>35.549999999999997</v>
      </c>
      <c r="G41" t="s">
        <v>21</v>
      </c>
      <c r="H41" t="s">
        <v>111</v>
      </c>
      <c r="I41" t="s">
        <v>23</v>
      </c>
      <c r="J41" s="4" t="str">
        <f t="shared" si="0"/>
        <v>COFORGE</v>
      </c>
    </row>
    <row r="42" spans="1:10" x14ac:dyDescent="0.35">
      <c r="A42" s="1">
        <v>45817.406145833331</v>
      </c>
      <c r="B42" t="s">
        <v>108</v>
      </c>
      <c r="C42" t="s">
        <v>109</v>
      </c>
      <c r="D42" t="s">
        <v>20</v>
      </c>
      <c r="E42">
        <v>350</v>
      </c>
      <c r="F42">
        <v>64.349999999999994</v>
      </c>
      <c r="G42" t="s">
        <v>21</v>
      </c>
      <c r="H42" t="s">
        <v>112</v>
      </c>
      <c r="I42" t="s">
        <v>23</v>
      </c>
      <c r="J42" s="4" t="str">
        <f t="shared" si="0"/>
        <v>CDSL</v>
      </c>
    </row>
    <row r="43" spans="1:10" x14ac:dyDescent="0.35">
      <c r="A43" s="1">
        <v>45817.644467592596</v>
      </c>
      <c r="B43" t="s">
        <v>113</v>
      </c>
      <c r="C43" t="s">
        <v>114</v>
      </c>
      <c r="D43" t="s">
        <v>26</v>
      </c>
      <c r="E43">
        <v>75</v>
      </c>
      <c r="F43">
        <v>96.6</v>
      </c>
      <c r="G43" t="s">
        <v>21</v>
      </c>
      <c r="H43" t="s">
        <v>115</v>
      </c>
      <c r="I43" t="s">
        <v>23</v>
      </c>
      <c r="J43" s="4" t="str">
        <f t="shared" si="0"/>
        <v>NIFTY</v>
      </c>
    </row>
    <row r="44" spans="1:10" x14ac:dyDescent="0.35">
      <c r="A44" s="1">
        <v>45818.59207175926</v>
      </c>
      <c r="B44" t="s">
        <v>116</v>
      </c>
      <c r="C44" t="s">
        <v>117</v>
      </c>
      <c r="D44" t="s">
        <v>26</v>
      </c>
      <c r="E44">
        <v>2625</v>
      </c>
      <c r="F44">
        <v>6.9</v>
      </c>
      <c r="G44" t="s">
        <v>21</v>
      </c>
      <c r="H44" t="s">
        <v>118</v>
      </c>
      <c r="I44" t="s">
        <v>23</v>
      </c>
      <c r="J44" s="4" t="str">
        <f t="shared" si="0"/>
        <v>BHEL</v>
      </c>
    </row>
    <row r="45" spans="1:10" x14ac:dyDescent="0.35">
      <c r="A45" s="1">
        <v>45825.480127314811</v>
      </c>
      <c r="B45" t="s">
        <v>76</v>
      </c>
      <c r="C45" t="s">
        <v>77</v>
      </c>
      <c r="D45" t="s">
        <v>20</v>
      </c>
      <c r="E45">
        <v>150</v>
      </c>
      <c r="F45">
        <v>85.15</v>
      </c>
      <c r="G45" t="s">
        <v>21</v>
      </c>
      <c r="H45" t="s">
        <v>119</v>
      </c>
      <c r="I45" t="s">
        <v>23</v>
      </c>
      <c r="J45" s="4" t="str">
        <f t="shared" si="0"/>
        <v>HAL</v>
      </c>
    </row>
    <row r="46" spans="1:10" x14ac:dyDescent="0.35">
      <c r="A46" s="1">
        <v>45826.484907407408</v>
      </c>
      <c r="B46" t="s">
        <v>120</v>
      </c>
      <c r="C46" t="s">
        <v>121</v>
      </c>
      <c r="D46" t="s">
        <v>26</v>
      </c>
      <c r="E46">
        <v>5000</v>
      </c>
      <c r="F46">
        <v>2.15</v>
      </c>
      <c r="G46" t="s">
        <v>21</v>
      </c>
      <c r="H46" t="s">
        <v>122</v>
      </c>
      <c r="I46" t="s">
        <v>23</v>
      </c>
      <c r="J46" s="4" t="str">
        <f t="shared" si="0"/>
        <v>FEDERALBNK</v>
      </c>
    </row>
    <row r="47" spans="1:10" x14ac:dyDescent="0.35">
      <c r="A47" s="1">
        <v>45826.493993055556</v>
      </c>
      <c r="B47" t="s">
        <v>120</v>
      </c>
      <c r="C47" t="s">
        <v>121</v>
      </c>
      <c r="D47" t="s">
        <v>20</v>
      </c>
      <c r="E47">
        <v>5000</v>
      </c>
      <c r="F47">
        <v>2.4</v>
      </c>
      <c r="G47" t="s">
        <v>21</v>
      </c>
      <c r="H47" t="s">
        <v>123</v>
      </c>
      <c r="I47" t="s">
        <v>23</v>
      </c>
      <c r="J47" s="4" t="str">
        <f t="shared" si="0"/>
        <v>FEDERALBNK</v>
      </c>
    </row>
    <row r="48" spans="1:10" x14ac:dyDescent="0.35">
      <c r="A48" s="1">
        <v>45826.504374999997</v>
      </c>
      <c r="B48" t="s">
        <v>124</v>
      </c>
      <c r="C48" t="s">
        <v>125</v>
      </c>
      <c r="D48" t="s">
        <v>26</v>
      </c>
      <c r="E48">
        <v>325</v>
      </c>
      <c r="F48">
        <v>37</v>
      </c>
      <c r="G48" t="s">
        <v>21</v>
      </c>
      <c r="H48" t="s">
        <v>126</v>
      </c>
      <c r="I48" t="s">
        <v>23</v>
      </c>
      <c r="J48" s="4" t="str">
        <f t="shared" si="0"/>
        <v>BDL</v>
      </c>
    </row>
    <row r="49" spans="1:10" x14ac:dyDescent="0.35">
      <c r="A49" s="1">
        <v>45827.415914351855</v>
      </c>
      <c r="B49" t="s">
        <v>124</v>
      </c>
      <c r="C49" t="s">
        <v>125</v>
      </c>
      <c r="D49" t="s">
        <v>20</v>
      </c>
      <c r="E49">
        <v>325</v>
      </c>
      <c r="F49">
        <v>51.5</v>
      </c>
      <c r="G49" t="s">
        <v>21</v>
      </c>
      <c r="H49" t="s">
        <v>127</v>
      </c>
      <c r="I49" t="s">
        <v>23</v>
      </c>
      <c r="J49" s="4" t="str">
        <f t="shared" si="0"/>
        <v>BDL</v>
      </c>
    </row>
    <row r="50" spans="1:10" x14ac:dyDescent="0.35">
      <c r="A50" s="1">
        <v>45827.520914351851</v>
      </c>
      <c r="B50" t="s">
        <v>113</v>
      </c>
      <c r="C50" t="s">
        <v>114</v>
      </c>
      <c r="D50" t="s">
        <v>20</v>
      </c>
      <c r="E50">
        <v>75</v>
      </c>
      <c r="F50">
        <v>0.85</v>
      </c>
      <c r="G50" t="s">
        <v>21</v>
      </c>
      <c r="H50" t="s">
        <v>128</v>
      </c>
      <c r="I50" t="s">
        <v>23</v>
      </c>
      <c r="J50" s="4" t="str">
        <f t="shared" si="0"/>
        <v>NIFTY</v>
      </c>
    </row>
    <row r="51" spans="1:10" x14ac:dyDescent="0.35">
      <c r="A51" s="1">
        <v>45828.532870370371</v>
      </c>
      <c r="B51" t="s">
        <v>129</v>
      </c>
      <c r="C51" t="s">
        <v>130</v>
      </c>
      <c r="D51" t="s">
        <v>26</v>
      </c>
      <c r="E51">
        <v>150</v>
      </c>
      <c r="F51">
        <v>44.8</v>
      </c>
      <c r="G51" t="s">
        <v>21</v>
      </c>
      <c r="H51" t="s">
        <v>131</v>
      </c>
      <c r="I51" t="s">
        <v>23</v>
      </c>
      <c r="J51" s="4" t="str">
        <f t="shared" si="0"/>
        <v>LTIM</v>
      </c>
    </row>
    <row r="52" spans="1:10" x14ac:dyDescent="0.35">
      <c r="A52" s="1">
        <v>45828.539560185185</v>
      </c>
      <c r="B52" t="s">
        <v>129</v>
      </c>
      <c r="C52" t="s">
        <v>130</v>
      </c>
      <c r="D52" t="s">
        <v>20</v>
      </c>
      <c r="E52">
        <v>150</v>
      </c>
      <c r="F52">
        <v>45.85</v>
      </c>
      <c r="G52" t="s">
        <v>21</v>
      </c>
      <c r="H52" t="s">
        <v>132</v>
      </c>
      <c r="I52" t="s">
        <v>23</v>
      </c>
      <c r="J52" s="4" t="str">
        <f t="shared" si="0"/>
        <v>LTIM</v>
      </c>
    </row>
    <row r="53" spans="1:10" x14ac:dyDescent="0.35">
      <c r="A53" s="1">
        <v>45828.630428240744</v>
      </c>
      <c r="B53" t="s">
        <v>116</v>
      </c>
      <c r="C53" t="s">
        <v>117</v>
      </c>
      <c r="D53" t="s">
        <v>20</v>
      </c>
      <c r="E53">
        <v>2625</v>
      </c>
      <c r="F53">
        <v>0.55000000000000004</v>
      </c>
      <c r="G53" t="s">
        <v>21</v>
      </c>
      <c r="H53" t="s">
        <v>133</v>
      </c>
      <c r="I53" t="s">
        <v>23</v>
      </c>
      <c r="J53" s="4" t="str">
        <f t="shared" si="0"/>
        <v>BHEL</v>
      </c>
    </row>
    <row r="54" spans="1:10" x14ac:dyDescent="0.35">
      <c r="A54" s="1">
        <v>45832.538530092592</v>
      </c>
      <c r="B54" t="s">
        <v>134</v>
      </c>
      <c r="C54" t="s">
        <v>135</v>
      </c>
      <c r="D54" t="s">
        <v>26</v>
      </c>
      <c r="E54">
        <v>75</v>
      </c>
      <c r="F54">
        <v>169.95</v>
      </c>
      <c r="G54" t="s">
        <v>21</v>
      </c>
      <c r="H54" t="s">
        <v>136</v>
      </c>
      <c r="I54" t="s">
        <v>23</v>
      </c>
      <c r="J54" s="4" t="str">
        <f t="shared" si="0"/>
        <v>NIFTY</v>
      </c>
    </row>
    <row r="55" spans="1:10" x14ac:dyDescent="0.35">
      <c r="A55" s="1">
        <v>45832.568043981482</v>
      </c>
      <c r="B55" t="s">
        <v>134</v>
      </c>
      <c r="C55" t="s">
        <v>135</v>
      </c>
      <c r="D55" t="s">
        <v>20</v>
      </c>
      <c r="E55">
        <v>75</v>
      </c>
      <c r="F55">
        <v>99.45</v>
      </c>
      <c r="G55" t="s">
        <v>21</v>
      </c>
      <c r="H55" t="s">
        <v>137</v>
      </c>
      <c r="I55" t="s">
        <v>23</v>
      </c>
      <c r="J55" s="4" t="str">
        <f t="shared" si="0"/>
        <v>NIFTY</v>
      </c>
    </row>
    <row r="56" spans="1:10" x14ac:dyDescent="0.35">
      <c r="A56" s="1">
        <v>45832.56925925926</v>
      </c>
      <c r="B56" t="s">
        <v>138</v>
      </c>
      <c r="C56" t="s">
        <v>139</v>
      </c>
      <c r="D56" t="s">
        <v>26</v>
      </c>
      <c r="E56">
        <v>75</v>
      </c>
      <c r="F56">
        <v>84.9</v>
      </c>
      <c r="G56" t="s">
        <v>21</v>
      </c>
      <c r="H56" t="s">
        <v>140</v>
      </c>
      <c r="I56" t="s">
        <v>23</v>
      </c>
      <c r="J56" s="4" t="str">
        <f t="shared" si="0"/>
        <v>NIFTY</v>
      </c>
    </row>
    <row r="57" spans="1:10" x14ac:dyDescent="0.35">
      <c r="A57" s="1">
        <v>45832.624502314815</v>
      </c>
      <c r="B57" t="s">
        <v>138</v>
      </c>
      <c r="C57" t="s">
        <v>139</v>
      </c>
      <c r="D57" t="s">
        <v>20</v>
      </c>
      <c r="E57">
        <v>75</v>
      </c>
      <c r="F57">
        <v>49.6</v>
      </c>
      <c r="G57" t="s">
        <v>21</v>
      </c>
      <c r="H57" t="s">
        <v>141</v>
      </c>
      <c r="I57" t="s">
        <v>23</v>
      </c>
      <c r="J57" s="4" t="str">
        <f t="shared" si="0"/>
        <v>NIFTY</v>
      </c>
    </row>
    <row r="58" spans="1:10" x14ac:dyDescent="0.35">
      <c r="A58" s="1">
        <v>45876.638935185183</v>
      </c>
      <c r="B58" t="s">
        <v>142</v>
      </c>
      <c r="C58" t="s">
        <v>143</v>
      </c>
      <c r="D58" t="s">
        <v>26</v>
      </c>
      <c r="E58">
        <v>800</v>
      </c>
      <c r="F58">
        <v>19.7</v>
      </c>
      <c r="G58" t="s">
        <v>21</v>
      </c>
      <c r="H58" t="s">
        <v>144</v>
      </c>
      <c r="I58" t="s">
        <v>23</v>
      </c>
      <c r="J58" s="4" t="str">
        <f t="shared" si="0"/>
        <v>TATAMOTORS</v>
      </c>
    </row>
    <row r="59" spans="1:10" x14ac:dyDescent="0.35">
      <c r="A59" s="1">
        <v>45876.645254629628</v>
      </c>
      <c r="B59" t="s">
        <v>142</v>
      </c>
      <c r="C59" t="s">
        <v>143</v>
      </c>
      <c r="D59" t="s">
        <v>20</v>
      </c>
      <c r="E59">
        <v>800</v>
      </c>
      <c r="F59">
        <v>20.75</v>
      </c>
      <c r="G59" t="s">
        <v>21</v>
      </c>
      <c r="H59" t="s">
        <v>145</v>
      </c>
      <c r="I59" t="s">
        <v>23</v>
      </c>
      <c r="J59" s="4" t="str">
        <f t="shared" si="0"/>
        <v>TATAMOTORS</v>
      </c>
    </row>
    <row r="60" spans="1:10" x14ac:dyDescent="0.35">
      <c r="A60" s="1">
        <v>45877.390925925924</v>
      </c>
      <c r="B60" t="s">
        <v>146</v>
      </c>
      <c r="C60" t="s">
        <v>147</v>
      </c>
      <c r="D60" t="s">
        <v>26</v>
      </c>
      <c r="E60">
        <v>200</v>
      </c>
      <c r="F60">
        <v>115.4</v>
      </c>
      <c r="G60" t="s">
        <v>21</v>
      </c>
      <c r="H60" t="s">
        <v>148</v>
      </c>
      <c r="I60" t="s">
        <v>23</v>
      </c>
      <c r="J60" s="4" t="str">
        <f t="shared" si="0"/>
        <v>CUMMINSIND</v>
      </c>
    </row>
    <row r="61" spans="1:10" x14ac:dyDescent="0.35">
      <c r="A61" s="1">
        <v>45877.417500000003</v>
      </c>
      <c r="B61" t="s">
        <v>146</v>
      </c>
      <c r="C61" t="s">
        <v>147</v>
      </c>
      <c r="D61" t="s">
        <v>20</v>
      </c>
      <c r="E61">
        <v>200</v>
      </c>
      <c r="F61">
        <v>182.4</v>
      </c>
      <c r="G61" t="s">
        <v>21</v>
      </c>
      <c r="H61" t="s">
        <v>149</v>
      </c>
      <c r="I61" t="s">
        <v>23</v>
      </c>
      <c r="J61" s="4" t="str">
        <f t="shared" si="0"/>
        <v>CUMMINSIND</v>
      </c>
    </row>
    <row r="62" spans="1:10" x14ac:dyDescent="0.35">
      <c r="A62" s="1">
        <v>45877.432129629633</v>
      </c>
      <c r="B62" t="s">
        <v>142</v>
      </c>
      <c r="C62" t="s">
        <v>143</v>
      </c>
      <c r="D62" t="s">
        <v>26</v>
      </c>
      <c r="E62">
        <v>800</v>
      </c>
      <c r="F62">
        <v>16.149999999999999</v>
      </c>
      <c r="G62" t="s">
        <v>21</v>
      </c>
      <c r="H62" t="s">
        <v>150</v>
      </c>
      <c r="I62" t="s">
        <v>23</v>
      </c>
      <c r="J62" s="4" t="str">
        <f t="shared" si="0"/>
        <v>TATAMOTORS</v>
      </c>
    </row>
    <row r="63" spans="1:10" x14ac:dyDescent="0.35">
      <c r="A63" s="1">
        <v>45877.49895833333</v>
      </c>
      <c r="B63" t="s">
        <v>142</v>
      </c>
      <c r="C63" t="s">
        <v>143</v>
      </c>
      <c r="D63" t="s">
        <v>20</v>
      </c>
      <c r="E63">
        <v>800</v>
      </c>
      <c r="F63">
        <v>16.05</v>
      </c>
      <c r="G63" t="s">
        <v>21</v>
      </c>
      <c r="H63" t="s">
        <v>151</v>
      </c>
      <c r="I63" t="s">
        <v>23</v>
      </c>
      <c r="J63" s="4" t="str">
        <f t="shared" si="0"/>
        <v>TATAMOTORS</v>
      </c>
    </row>
    <row r="64" spans="1:10" x14ac:dyDescent="0.35">
      <c r="A64" s="1">
        <v>45877.509710648148</v>
      </c>
      <c r="B64" t="s">
        <v>152</v>
      </c>
      <c r="C64" t="s">
        <v>153</v>
      </c>
      <c r="D64" t="s">
        <v>26</v>
      </c>
      <c r="E64">
        <v>100</v>
      </c>
      <c r="F64">
        <v>118.95</v>
      </c>
      <c r="G64" t="s">
        <v>21</v>
      </c>
      <c r="H64" t="s">
        <v>154</v>
      </c>
      <c r="I64" t="s">
        <v>23</v>
      </c>
      <c r="J64" s="4" t="str">
        <f t="shared" si="0"/>
        <v>TRENT</v>
      </c>
    </row>
    <row r="65" spans="1:10" x14ac:dyDescent="0.35">
      <c r="A65" s="1">
        <v>45877.542939814812</v>
      </c>
      <c r="B65" t="s">
        <v>152</v>
      </c>
      <c r="C65" t="s">
        <v>153</v>
      </c>
      <c r="D65" t="s">
        <v>20</v>
      </c>
      <c r="E65">
        <v>100</v>
      </c>
      <c r="F65">
        <v>131.65</v>
      </c>
      <c r="G65" t="s">
        <v>21</v>
      </c>
      <c r="H65" t="s">
        <v>155</v>
      </c>
      <c r="I65" t="s">
        <v>23</v>
      </c>
      <c r="J65" s="4" t="str">
        <f t="shared" si="0"/>
        <v>TRENT</v>
      </c>
    </row>
    <row r="66" spans="1:10" x14ac:dyDescent="0.35">
      <c r="A66" s="1">
        <v>45877.56554398148</v>
      </c>
      <c r="B66" t="s">
        <v>156</v>
      </c>
      <c r="C66" t="s">
        <v>157</v>
      </c>
      <c r="D66" t="s">
        <v>26</v>
      </c>
      <c r="E66">
        <v>50</v>
      </c>
      <c r="F66">
        <v>374.15</v>
      </c>
      <c r="G66" t="s">
        <v>21</v>
      </c>
      <c r="H66" t="s">
        <v>158</v>
      </c>
      <c r="I66" t="s">
        <v>23</v>
      </c>
      <c r="J66" s="4" t="str">
        <f t="shared" si="0"/>
        <v>DIXON</v>
      </c>
    </row>
    <row r="67" spans="1:10" x14ac:dyDescent="0.35">
      <c r="A67" s="1">
        <v>45877.598923611113</v>
      </c>
      <c r="B67" t="s">
        <v>156</v>
      </c>
      <c r="C67" t="s">
        <v>157</v>
      </c>
      <c r="D67" t="s">
        <v>20</v>
      </c>
      <c r="E67">
        <v>50</v>
      </c>
      <c r="F67">
        <v>339.35</v>
      </c>
      <c r="G67" t="s">
        <v>21</v>
      </c>
      <c r="H67" t="s">
        <v>159</v>
      </c>
      <c r="I67" t="s">
        <v>23</v>
      </c>
      <c r="J67" s="4" t="str">
        <f t="shared" si="0"/>
        <v>DIXON</v>
      </c>
    </row>
    <row r="68" spans="1:10" x14ac:dyDescent="0.35">
      <c r="A68" s="1">
        <v>45880.391284722224</v>
      </c>
      <c r="B68" t="s">
        <v>160</v>
      </c>
      <c r="C68" t="s">
        <v>161</v>
      </c>
      <c r="D68" t="s">
        <v>26</v>
      </c>
      <c r="E68">
        <v>200</v>
      </c>
      <c r="F68">
        <v>106.95</v>
      </c>
      <c r="G68" t="s">
        <v>21</v>
      </c>
      <c r="H68" t="s">
        <v>162</v>
      </c>
      <c r="I68" t="s">
        <v>23</v>
      </c>
      <c r="J68" s="4" t="str">
        <f t="shared" si="0"/>
        <v>CUMMINSIND</v>
      </c>
    </row>
    <row r="69" spans="1:10" x14ac:dyDescent="0.35">
      <c r="A69" s="1">
        <v>45881.43990740741</v>
      </c>
      <c r="B69" t="s">
        <v>163</v>
      </c>
      <c r="C69" t="s">
        <v>164</v>
      </c>
      <c r="D69" t="s">
        <v>26</v>
      </c>
      <c r="E69">
        <v>75</v>
      </c>
      <c r="F69">
        <v>98.3</v>
      </c>
      <c r="G69" t="s">
        <v>21</v>
      </c>
      <c r="H69" t="s">
        <v>165</v>
      </c>
      <c r="I69" t="s">
        <v>23</v>
      </c>
      <c r="J69" s="4" t="str">
        <f t="shared" si="0"/>
        <v>NIFTY</v>
      </c>
    </row>
    <row r="70" spans="1:10" x14ac:dyDescent="0.35">
      <c r="A70" s="1">
        <v>45881.452488425923</v>
      </c>
      <c r="B70" t="s">
        <v>160</v>
      </c>
      <c r="C70" t="s">
        <v>161</v>
      </c>
      <c r="D70" t="s">
        <v>20</v>
      </c>
      <c r="E70">
        <v>200</v>
      </c>
      <c r="F70">
        <v>78.900000000000006</v>
      </c>
      <c r="G70" t="s">
        <v>21</v>
      </c>
      <c r="H70" t="s">
        <v>166</v>
      </c>
      <c r="I70" t="s">
        <v>23</v>
      </c>
      <c r="J70" s="4" t="str">
        <f t="shared" si="0"/>
        <v>CUMMINSIND</v>
      </c>
    </row>
    <row r="71" spans="1:10" x14ac:dyDescent="0.35">
      <c r="A71" s="1">
        <v>45881.46738425926</v>
      </c>
      <c r="B71" t="s">
        <v>167</v>
      </c>
      <c r="C71" t="s">
        <v>168</v>
      </c>
      <c r="D71" t="s">
        <v>26</v>
      </c>
      <c r="E71">
        <v>500</v>
      </c>
      <c r="F71">
        <v>16.600000000000001</v>
      </c>
      <c r="G71" t="s">
        <v>21</v>
      </c>
      <c r="H71" t="s">
        <v>169</v>
      </c>
      <c r="I71" t="s">
        <v>23</v>
      </c>
      <c r="J71" s="4" t="str">
        <f t="shared" si="0"/>
        <v>RELIANCE</v>
      </c>
    </row>
    <row r="72" spans="1:10" x14ac:dyDescent="0.35">
      <c r="A72" s="1">
        <v>45881.493298611109</v>
      </c>
      <c r="B72" t="s">
        <v>163</v>
      </c>
      <c r="C72" t="s">
        <v>164</v>
      </c>
      <c r="D72" t="s">
        <v>20</v>
      </c>
      <c r="E72">
        <v>75</v>
      </c>
      <c r="F72">
        <v>68.05</v>
      </c>
      <c r="G72" t="s">
        <v>21</v>
      </c>
      <c r="H72" t="s">
        <v>170</v>
      </c>
      <c r="I72" t="s">
        <v>23</v>
      </c>
      <c r="J72" s="4" t="str">
        <f t="shared" si="0"/>
        <v>NIFTY</v>
      </c>
    </row>
    <row r="73" spans="1:10" x14ac:dyDescent="0.35">
      <c r="A73" s="1">
        <v>45881.542847222219</v>
      </c>
      <c r="B73" t="s">
        <v>171</v>
      </c>
      <c r="C73" t="s">
        <v>172</v>
      </c>
      <c r="D73" t="s">
        <v>26</v>
      </c>
      <c r="E73">
        <v>75</v>
      </c>
      <c r="F73">
        <v>62.45</v>
      </c>
      <c r="G73" t="s">
        <v>21</v>
      </c>
      <c r="H73" t="s">
        <v>173</v>
      </c>
      <c r="I73" t="s">
        <v>23</v>
      </c>
      <c r="J73" s="4" t="str">
        <f t="shared" ref="J73:J136" si="1">LEFT(B73,FIND(" ",B73)-1)</f>
        <v>NIFTY</v>
      </c>
    </row>
    <row r="74" spans="1:10" x14ac:dyDescent="0.35">
      <c r="A74" s="1">
        <v>45882.400578703702</v>
      </c>
      <c r="B74" t="s">
        <v>174</v>
      </c>
      <c r="C74" t="s">
        <v>175</v>
      </c>
      <c r="D74" t="s">
        <v>26</v>
      </c>
      <c r="E74">
        <v>125</v>
      </c>
      <c r="F74">
        <v>87.75</v>
      </c>
      <c r="G74" t="s">
        <v>21</v>
      </c>
      <c r="H74" t="s">
        <v>176</v>
      </c>
      <c r="I74" t="s">
        <v>23</v>
      </c>
      <c r="J74" s="4" t="str">
        <f t="shared" si="1"/>
        <v>APOLLOHOSP</v>
      </c>
    </row>
    <row r="75" spans="1:10" x14ac:dyDescent="0.35">
      <c r="A75" s="1">
        <v>45882.532569444447</v>
      </c>
      <c r="B75" t="s">
        <v>171</v>
      </c>
      <c r="C75" t="s">
        <v>172</v>
      </c>
      <c r="D75" t="s">
        <v>20</v>
      </c>
      <c r="E75">
        <v>75</v>
      </c>
      <c r="F75">
        <v>64.2</v>
      </c>
      <c r="G75" t="s">
        <v>21</v>
      </c>
      <c r="H75" t="s">
        <v>177</v>
      </c>
      <c r="I75" t="s">
        <v>23</v>
      </c>
      <c r="J75" s="4" t="str">
        <f t="shared" si="1"/>
        <v>NIFTY</v>
      </c>
    </row>
    <row r="76" spans="1:10" x14ac:dyDescent="0.35">
      <c r="A76" s="1">
        <v>45882.537349537037</v>
      </c>
      <c r="B76" t="s">
        <v>178</v>
      </c>
      <c r="C76" t="s">
        <v>179</v>
      </c>
      <c r="D76" t="s">
        <v>26</v>
      </c>
      <c r="E76">
        <v>75</v>
      </c>
      <c r="F76">
        <v>139.5</v>
      </c>
      <c r="G76" t="s">
        <v>21</v>
      </c>
      <c r="H76" t="s">
        <v>180</v>
      </c>
      <c r="I76" t="s">
        <v>23</v>
      </c>
      <c r="J76" s="4" t="str">
        <f t="shared" si="1"/>
        <v>NIFTY</v>
      </c>
    </row>
    <row r="77" spans="1:10" x14ac:dyDescent="0.35">
      <c r="A77" s="1">
        <v>45882.537488425929</v>
      </c>
      <c r="B77" t="s">
        <v>178</v>
      </c>
      <c r="C77" t="s">
        <v>179</v>
      </c>
      <c r="D77" t="s">
        <v>26</v>
      </c>
      <c r="E77">
        <v>75</v>
      </c>
      <c r="F77">
        <v>139.5</v>
      </c>
      <c r="G77" t="s">
        <v>21</v>
      </c>
      <c r="H77" t="s">
        <v>181</v>
      </c>
      <c r="I77" t="s">
        <v>23</v>
      </c>
      <c r="J77" s="4" t="str">
        <f t="shared" si="1"/>
        <v>NIFTY</v>
      </c>
    </row>
    <row r="78" spans="1:10" x14ac:dyDescent="0.35">
      <c r="A78" s="1">
        <v>45882.547326388885</v>
      </c>
      <c r="B78" t="s">
        <v>178</v>
      </c>
      <c r="C78" t="s">
        <v>179</v>
      </c>
      <c r="D78" t="s">
        <v>20</v>
      </c>
      <c r="E78">
        <v>150</v>
      </c>
      <c r="F78">
        <v>143.55000000000001</v>
      </c>
      <c r="G78" t="s">
        <v>21</v>
      </c>
      <c r="H78" t="s">
        <v>182</v>
      </c>
      <c r="I78" t="s">
        <v>23</v>
      </c>
      <c r="J78" s="4" t="str">
        <f t="shared" si="1"/>
        <v>NIFTY</v>
      </c>
    </row>
    <row r="79" spans="1:10" x14ac:dyDescent="0.35">
      <c r="A79" s="1">
        <v>45882.551504629628</v>
      </c>
      <c r="B79" t="s">
        <v>174</v>
      </c>
      <c r="C79" t="s">
        <v>175</v>
      </c>
      <c r="D79" t="s">
        <v>20</v>
      </c>
      <c r="E79">
        <v>125</v>
      </c>
      <c r="F79">
        <v>90.85</v>
      </c>
      <c r="G79" t="s">
        <v>21</v>
      </c>
      <c r="H79" t="s">
        <v>183</v>
      </c>
      <c r="I79" t="s">
        <v>23</v>
      </c>
      <c r="J79" s="4" t="str">
        <f t="shared" si="1"/>
        <v>APOLLOHOSP</v>
      </c>
    </row>
    <row r="80" spans="1:10" x14ac:dyDescent="0.35">
      <c r="A80" s="1">
        <v>45882.566840277781</v>
      </c>
      <c r="B80" t="s">
        <v>184</v>
      </c>
      <c r="C80" t="s">
        <v>185</v>
      </c>
      <c r="D80" t="s">
        <v>26</v>
      </c>
      <c r="E80">
        <v>75</v>
      </c>
      <c r="F80">
        <v>77.2</v>
      </c>
      <c r="G80" t="s">
        <v>21</v>
      </c>
      <c r="H80" t="s">
        <v>186</v>
      </c>
      <c r="I80" t="s">
        <v>23</v>
      </c>
      <c r="J80" s="4" t="str">
        <f t="shared" si="1"/>
        <v>NIFTY</v>
      </c>
    </row>
    <row r="81" spans="1:10" x14ac:dyDescent="0.35">
      <c r="A81" s="1">
        <v>45882.603206018517</v>
      </c>
      <c r="B81" t="s">
        <v>187</v>
      </c>
      <c r="C81" t="s">
        <v>188</v>
      </c>
      <c r="D81" t="s">
        <v>26</v>
      </c>
      <c r="E81">
        <v>375</v>
      </c>
      <c r="F81">
        <v>48.4</v>
      </c>
      <c r="G81" t="s">
        <v>21</v>
      </c>
      <c r="H81" t="s">
        <v>189</v>
      </c>
      <c r="I81" t="s">
        <v>23</v>
      </c>
      <c r="J81" s="4" t="str">
        <f t="shared" si="1"/>
        <v>GLENMARK</v>
      </c>
    </row>
    <row r="82" spans="1:10" x14ac:dyDescent="0.35">
      <c r="A82" s="1">
        <v>45882.617349537039</v>
      </c>
      <c r="B82" t="s">
        <v>190</v>
      </c>
      <c r="C82" t="s">
        <v>191</v>
      </c>
      <c r="D82" t="s">
        <v>26</v>
      </c>
      <c r="E82">
        <v>125</v>
      </c>
      <c r="F82">
        <v>59.5</v>
      </c>
      <c r="G82" t="s">
        <v>21</v>
      </c>
      <c r="H82" t="s">
        <v>192</v>
      </c>
      <c r="I82" t="s">
        <v>23</v>
      </c>
      <c r="J82" s="4" t="str">
        <f t="shared" si="1"/>
        <v>APOLLOHOSP</v>
      </c>
    </row>
    <row r="83" spans="1:10" x14ac:dyDescent="0.35">
      <c r="A83" s="1">
        <v>45882.625127314815</v>
      </c>
      <c r="B83" t="s">
        <v>190</v>
      </c>
      <c r="C83" t="s">
        <v>191</v>
      </c>
      <c r="D83" t="s">
        <v>20</v>
      </c>
      <c r="E83">
        <v>125</v>
      </c>
      <c r="F83">
        <v>67.849999999999994</v>
      </c>
      <c r="G83" t="s">
        <v>21</v>
      </c>
      <c r="H83" t="s">
        <v>193</v>
      </c>
      <c r="I83" t="s">
        <v>23</v>
      </c>
      <c r="J83" s="4" t="str">
        <f t="shared" si="1"/>
        <v>APOLLOHOSP</v>
      </c>
    </row>
    <row r="84" spans="1:10" x14ac:dyDescent="0.35">
      <c r="A84" s="1">
        <v>45882.63453703704</v>
      </c>
      <c r="B84" t="s">
        <v>194</v>
      </c>
      <c r="C84" t="s">
        <v>195</v>
      </c>
      <c r="D84" t="s">
        <v>26</v>
      </c>
      <c r="E84">
        <v>125</v>
      </c>
      <c r="F84">
        <v>45</v>
      </c>
      <c r="G84" t="s">
        <v>21</v>
      </c>
      <c r="H84" t="s">
        <v>196</v>
      </c>
      <c r="I84" t="s">
        <v>23</v>
      </c>
      <c r="J84" s="4" t="str">
        <f t="shared" si="1"/>
        <v>APOLLOHOSP</v>
      </c>
    </row>
    <row r="85" spans="1:10" x14ac:dyDescent="0.35">
      <c r="A85" s="1">
        <v>45883.49322916667</v>
      </c>
      <c r="B85" t="s">
        <v>167</v>
      </c>
      <c r="C85" t="s">
        <v>168</v>
      </c>
      <c r="D85" t="s">
        <v>20</v>
      </c>
      <c r="E85">
        <v>500</v>
      </c>
      <c r="F85">
        <v>12.45</v>
      </c>
      <c r="G85" t="s">
        <v>21</v>
      </c>
      <c r="H85" t="s">
        <v>197</v>
      </c>
      <c r="I85" t="s">
        <v>23</v>
      </c>
      <c r="J85" s="4" t="str">
        <f t="shared" si="1"/>
        <v>RELIANCE</v>
      </c>
    </row>
    <row r="86" spans="1:10" x14ac:dyDescent="0.35">
      <c r="A86" s="1">
        <v>45883.543877314813</v>
      </c>
      <c r="B86" t="s">
        <v>184</v>
      </c>
      <c r="C86" t="s">
        <v>185</v>
      </c>
      <c r="D86" t="s">
        <v>26</v>
      </c>
      <c r="E86">
        <v>75</v>
      </c>
      <c r="F86">
        <v>72.400000000000006</v>
      </c>
      <c r="G86" t="s">
        <v>21</v>
      </c>
      <c r="H86" t="s">
        <v>198</v>
      </c>
      <c r="I86" t="s">
        <v>23</v>
      </c>
      <c r="J86" s="4" t="str">
        <f t="shared" si="1"/>
        <v>NIFTY</v>
      </c>
    </row>
    <row r="87" spans="1:10" x14ac:dyDescent="0.35">
      <c r="A87" s="1">
        <v>45883.544085648151</v>
      </c>
      <c r="B87" t="s">
        <v>184</v>
      </c>
      <c r="C87" t="s">
        <v>185</v>
      </c>
      <c r="D87" t="s">
        <v>26</v>
      </c>
      <c r="E87">
        <v>75</v>
      </c>
      <c r="F87">
        <v>71.55</v>
      </c>
      <c r="G87" t="s">
        <v>21</v>
      </c>
      <c r="H87" t="s">
        <v>199</v>
      </c>
      <c r="I87" t="s">
        <v>23</v>
      </c>
      <c r="J87" s="4" t="str">
        <f t="shared" si="1"/>
        <v>NIFTY</v>
      </c>
    </row>
    <row r="88" spans="1:10" x14ac:dyDescent="0.35">
      <c r="A88" s="1">
        <v>45883.54414351852</v>
      </c>
      <c r="B88" t="s">
        <v>184</v>
      </c>
      <c r="C88" t="s">
        <v>185</v>
      </c>
      <c r="D88" t="s">
        <v>26</v>
      </c>
      <c r="E88">
        <v>75</v>
      </c>
      <c r="F88">
        <v>71.349999999999994</v>
      </c>
      <c r="G88" t="s">
        <v>21</v>
      </c>
      <c r="H88" t="s">
        <v>200</v>
      </c>
      <c r="I88" t="s">
        <v>23</v>
      </c>
      <c r="J88" s="4" t="str">
        <f t="shared" si="1"/>
        <v>NIFTY</v>
      </c>
    </row>
    <row r="89" spans="1:10" x14ac:dyDescent="0.35">
      <c r="A89" s="1">
        <v>45883.595821759256</v>
      </c>
      <c r="B89" t="s">
        <v>184</v>
      </c>
      <c r="C89" t="s">
        <v>185</v>
      </c>
      <c r="D89" t="s">
        <v>20</v>
      </c>
      <c r="E89">
        <v>75</v>
      </c>
      <c r="F89">
        <v>59.25</v>
      </c>
      <c r="G89" t="s">
        <v>21</v>
      </c>
      <c r="H89" t="s">
        <v>201</v>
      </c>
      <c r="I89" t="s">
        <v>23</v>
      </c>
      <c r="J89" s="4" t="str">
        <f t="shared" si="1"/>
        <v>NIFTY</v>
      </c>
    </row>
    <row r="90" spans="1:10" x14ac:dyDescent="0.35">
      <c r="A90" s="1">
        <v>45883.604907407411</v>
      </c>
      <c r="B90" t="s">
        <v>184</v>
      </c>
      <c r="C90" t="s">
        <v>185</v>
      </c>
      <c r="D90" t="s">
        <v>20</v>
      </c>
      <c r="E90">
        <v>225</v>
      </c>
      <c r="F90">
        <v>57.7</v>
      </c>
      <c r="G90" t="s">
        <v>21</v>
      </c>
      <c r="H90" t="s">
        <v>202</v>
      </c>
      <c r="I90" t="s">
        <v>23</v>
      </c>
      <c r="J90" s="4" t="str">
        <f t="shared" si="1"/>
        <v>NIFTY</v>
      </c>
    </row>
    <row r="91" spans="1:10" x14ac:dyDescent="0.35">
      <c r="A91" s="1">
        <v>45883.645439814813</v>
      </c>
      <c r="B91" t="s">
        <v>187</v>
      </c>
      <c r="C91" t="s">
        <v>188</v>
      </c>
      <c r="D91" t="s">
        <v>20</v>
      </c>
      <c r="E91">
        <v>375</v>
      </c>
      <c r="F91">
        <v>56.1</v>
      </c>
      <c r="G91" t="s">
        <v>21</v>
      </c>
      <c r="H91" t="s">
        <v>203</v>
      </c>
      <c r="I91" t="s">
        <v>23</v>
      </c>
      <c r="J91" s="4" t="str">
        <f t="shared" si="1"/>
        <v>GLENMARK</v>
      </c>
    </row>
    <row r="92" spans="1:10" x14ac:dyDescent="0.35">
      <c r="A92" s="1">
        <v>45887.386793981481</v>
      </c>
      <c r="B92" t="s">
        <v>204</v>
      </c>
      <c r="C92" t="s">
        <v>205</v>
      </c>
      <c r="D92" t="s">
        <v>26</v>
      </c>
      <c r="E92">
        <v>100</v>
      </c>
      <c r="F92">
        <v>104.45</v>
      </c>
      <c r="G92" t="s">
        <v>21</v>
      </c>
      <c r="H92" t="s">
        <v>206</v>
      </c>
      <c r="I92" t="s">
        <v>23</v>
      </c>
      <c r="J92" s="4" t="str">
        <f t="shared" si="1"/>
        <v>KAYNES</v>
      </c>
    </row>
    <row r="93" spans="1:10" x14ac:dyDescent="0.35">
      <c r="A93" s="1">
        <v>45887.388553240744</v>
      </c>
      <c r="B93" t="s">
        <v>207</v>
      </c>
      <c r="C93" t="s">
        <v>208</v>
      </c>
      <c r="D93" t="s">
        <v>26</v>
      </c>
      <c r="E93">
        <v>500</v>
      </c>
      <c r="F93">
        <v>46.85</v>
      </c>
      <c r="G93" t="s">
        <v>21</v>
      </c>
      <c r="H93" t="s">
        <v>209</v>
      </c>
      <c r="I93" t="s">
        <v>23</v>
      </c>
      <c r="J93" s="4" t="str">
        <f t="shared" si="1"/>
        <v>RELIANCE</v>
      </c>
    </row>
    <row r="94" spans="1:10" x14ac:dyDescent="0.35">
      <c r="A94" s="1">
        <v>45887.394120370373</v>
      </c>
      <c r="B94" t="s">
        <v>210</v>
      </c>
      <c r="C94" t="s">
        <v>211</v>
      </c>
      <c r="D94" t="s">
        <v>26</v>
      </c>
      <c r="E94">
        <v>3000</v>
      </c>
      <c r="F94">
        <v>267.85000000000002</v>
      </c>
      <c r="G94" t="s">
        <v>21</v>
      </c>
      <c r="H94" t="s">
        <v>212</v>
      </c>
      <c r="I94" t="s">
        <v>23</v>
      </c>
      <c r="J94" s="4" t="str">
        <f t="shared" si="1"/>
        <v>MANAPPURAM</v>
      </c>
    </row>
    <row r="95" spans="1:10" x14ac:dyDescent="0.35">
      <c r="A95" s="1">
        <v>45887.422337962962</v>
      </c>
      <c r="B95" t="s">
        <v>207</v>
      </c>
      <c r="C95" t="s">
        <v>208</v>
      </c>
      <c r="D95" t="s">
        <v>20</v>
      </c>
      <c r="E95">
        <v>500</v>
      </c>
      <c r="F95">
        <v>47.75</v>
      </c>
      <c r="G95" t="s">
        <v>21</v>
      </c>
      <c r="H95" t="s">
        <v>213</v>
      </c>
      <c r="I95" t="s">
        <v>23</v>
      </c>
      <c r="J95" s="4" t="str">
        <f t="shared" si="1"/>
        <v>RELIANCE</v>
      </c>
    </row>
    <row r="96" spans="1:10" x14ac:dyDescent="0.35">
      <c r="A96" s="1">
        <v>45887.422569444447</v>
      </c>
      <c r="B96" t="s">
        <v>204</v>
      </c>
      <c r="C96" t="s">
        <v>205</v>
      </c>
      <c r="D96" t="s">
        <v>20</v>
      </c>
      <c r="E96">
        <v>100</v>
      </c>
      <c r="F96">
        <v>140.69999999999999</v>
      </c>
      <c r="G96" t="s">
        <v>21</v>
      </c>
      <c r="H96" t="s">
        <v>214</v>
      </c>
      <c r="I96" t="s">
        <v>23</v>
      </c>
      <c r="J96" s="4" t="str">
        <f t="shared" si="1"/>
        <v>KAYNES</v>
      </c>
    </row>
    <row r="97" spans="1:10" x14ac:dyDescent="0.35">
      <c r="A97" s="1">
        <v>45887.423750000002</v>
      </c>
      <c r="B97" t="s">
        <v>210</v>
      </c>
      <c r="C97" t="s">
        <v>211</v>
      </c>
      <c r="D97" t="s">
        <v>20</v>
      </c>
      <c r="E97">
        <v>3000</v>
      </c>
      <c r="F97">
        <v>269.10000000000002</v>
      </c>
      <c r="G97" t="s">
        <v>21</v>
      </c>
      <c r="H97" t="s">
        <v>215</v>
      </c>
      <c r="I97" t="s">
        <v>23</v>
      </c>
      <c r="J97" s="4" t="str">
        <f t="shared" si="1"/>
        <v>MANAPPURAM</v>
      </c>
    </row>
    <row r="98" spans="1:10" x14ac:dyDescent="0.35">
      <c r="A98" s="1">
        <v>45887.443414351852</v>
      </c>
      <c r="B98" t="s">
        <v>216</v>
      </c>
      <c r="C98" t="s">
        <v>217</v>
      </c>
      <c r="D98" t="s">
        <v>26</v>
      </c>
      <c r="E98">
        <v>400</v>
      </c>
      <c r="F98">
        <v>1452.5</v>
      </c>
      <c r="G98" t="s">
        <v>21</v>
      </c>
      <c r="H98" t="s">
        <v>218</v>
      </c>
      <c r="I98" t="s">
        <v>23</v>
      </c>
      <c r="J98" s="4" t="str">
        <f t="shared" si="1"/>
        <v>INFY</v>
      </c>
    </row>
    <row r="99" spans="1:10" x14ac:dyDescent="0.35">
      <c r="A99" s="1">
        <v>45888.453738425924</v>
      </c>
      <c r="B99" t="s">
        <v>219</v>
      </c>
      <c r="C99" t="s">
        <v>220</v>
      </c>
      <c r="D99" t="s">
        <v>26</v>
      </c>
      <c r="E99">
        <v>25</v>
      </c>
      <c r="F99">
        <v>40100</v>
      </c>
      <c r="G99" t="s">
        <v>21</v>
      </c>
      <c r="H99" t="s">
        <v>221</v>
      </c>
      <c r="I99" t="s">
        <v>23</v>
      </c>
      <c r="J99" s="4" t="str">
        <f t="shared" si="1"/>
        <v>BOSCHLTD</v>
      </c>
    </row>
    <row r="100" spans="1:10" x14ac:dyDescent="0.35">
      <c r="A100" s="1">
        <v>45889.617430555554</v>
      </c>
      <c r="B100" t="s">
        <v>216</v>
      </c>
      <c r="C100" t="s">
        <v>217</v>
      </c>
      <c r="D100" t="s">
        <v>20</v>
      </c>
      <c r="E100">
        <v>400</v>
      </c>
      <c r="F100">
        <v>1508</v>
      </c>
      <c r="G100" t="s">
        <v>21</v>
      </c>
      <c r="H100" t="s">
        <v>222</v>
      </c>
      <c r="I100" t="s">
        <v>23</v>
      </c>
      <c r="J100" s="4" t="str">
        <f t="shared" si="1"/>
        <v>INFY</v>
      </c>
    </row>
    <row r="101" spans="1:10" x14ac:dyDescent="0.35">
      <c r="A101" s="1">
        <v>45889.620462962965</v>
      </c>
      <c r="B101" t="s">
        <v>223</v>
      </c>
      <c r="C101" t="s">
        <v>224</v>
      </c>
      <c r="D101" t="s">
        <v>26</v>
      </c>
      <c r="E101">
        <v>400</v>
      </c>
      <c r="F101">
        <v>20.149999999999999</v>
      </c>
      <c r="G101" t="s">
        <v>21</v>
      </c>
      <c r="H101" t="s">
        <v>225</v>
      </c>
      <c r="I101" t="s">
        <v>23</v>
      </c>
      <c r="J101" s="4" t="str">
        <f t="shared" si="1"/>
        <v>INFY</v>
      </c>
    </row>
    <row r="102" spans="1:10" x14ac:dyDescent="0.35">
      <c r="A102" s="1">
        <v>45890.613379629627</v>
      </c>
      <c r="B102" t="s">
        <v>226</v>
      </c>
      <c r="C102" t="s">
        <v>227</v>
      </c>
      <c r="D102" t="s">
        <v>26</v>
      </c>
      <c r="E102">
        <v>75</v>
      </c>
      <c r="F102">
        <v>95.2</v>
      </c>
      <c r="G102" t="s">
        <v>21</v>
      </c>
      <c r="H102" t="s">
        <v>228</v>
      </c>
      <c r="I102" t="s">
        <v>23</v>
      </c>
      <c r="J102" s="4" t="str">
        <f t="shared" si="1"/>
        <v>NIFTY</v>
      </c>
    </row>
    <row r="103" spans="1:10" x14ac:dyDescent="0.35">
      <c r="A103" s="1">
        <v>45890.613599537035</v>
      </c>
      <c r="B103" t="s">
        <v>226</v>
      </c>
      <c r="C103" t="s">
        <v>227</v>
      </c>
      <c r="D103" t="s">
        <v>26</v>
      </c>
      <c r="E103">
        <v>75</v>
      </c>
      <c r="F103">
        <v>95.6</v>
      </c>
      <c r="G103" t="s">
        <v>21</v>
      </c>
      <c r="H103" t="s">
        <v>229</v>
      </c>
      <c r="I103" t="s">
        <v>23</v>
      </c>
      <c r="J103" s="4" t="str">
        <f t="shared" si="1"/>
        <v>NIFTY</v>
      </c>
    </row>
    <row r="104" spans="1:10" x14ac:dyDescent="0.35">
      <c r="A104" s="1">
        <v>45891.469826388886</v>
      </c>
      <c r="B104" t="s">
        <v>226</v>
      </c>
      <c r="C104" t="s">
        <v>227</v>
      </c>
      <c r="D104" t="s">
        <v>20</v>
      </c>
      <c r="E104">
        <v>150</v>
      </c>
      <c r="F104">
        <v>29.9</v>
      </c>
      <c r="G104" t="s">
        <v>21</v>
      </c>
      <c r="H104" t="s">
        <v>230</v>
      </c>
      <c r="I104" t="s">
        <v>23</v>
      </c>
      <c r="J104" s="4" t="str">
        <f t="shared" si="1"/>
        <v>NIFTY</v>
      </c>
    </row>
    <row r="105" spans="1:10" x14ac:dyDescent="0.35">
      <c r="A105" s="1">
        <v>45891.494722222225</v>
      </c>
      <c r="B105" t="s">
        <v>231</v>
      </c>
      <c r="C105" t="s">
        <v>232</v>
      </c>
      <c r="D105" t="s">
        <v>26</v>
      </c>
      <c r="E105">
        <v>500</v>
      </c>
      <c r="F105">
        <v>1425</v>
      </c>
      <c r="G105" t="s">
        <v>21</v>
      </c>
      <c r="H105" t="s">
        <v>233</v>
      </c>
      <c r="I105" t="s">
        <v>23</v>
      </c>
      <c r="J105" s="4" t="str">
        <f t="shared" si="1"/>
        <v>RELIANCE</v>
      </c>
    </row>
    <row r="106" spans="1:10" x14ac:dyDescent="0.35">
      <c r="A106" s="1">
        <v>45891.524097222224</v>
      </c>
      <c r="B106" t="s">
        <v>219</v>
      </c>
      <c r="C106" t="s">
        <v>220</v>
      </c>
      <c r="D106" t="s">
        <v>20</v>
      </c>
      <c r="E106">
        <v>25</v>
      </c>
      <c r="F106">
        <v>39300</v>
      </c>
      <c r="G106" t="s">
        <v>21</v>
      </c>
      <c r="H106" t="s">
        <v>234</v>
      </c>
      <c r="I106" t="s">
        <v>23</v>
      </c>
      <c r="J106" s="4" t="str">
        <f t="shared" si="1"/>
        <v>BOSCHLTD</v>
      </c>
    </row>
    <row r="107" spans="1:10" x14ac:dyDescent="0.35">
      <c r="A107" s="1">
        <v>45891.593368055554</v>
      </c>
      <c r="B107" t="s">
        <v>235</v>
      </c>
      <c r="C107" t="s">
        <v>236</v>
      </c>
      <c r="D107" t="s">
        <v>26</v>
      </c>
      <c r="E107">
        <v>75</v>
      </c>
      <c r="F107">
        <v>93.55</v>
      </c>
      <c r="G107" t="s">
        <v>21</v>
      </c>
      <c r="H107" t="s">
        <v>237</v>
      </c>
      <c r="I107" t="s">
        <v>23</v>
      </c>
      <c r="J107" s="4" t="str">
        <f t="shared" si="1"/>
        <v>NIFTY</v>
      </c>
    </row>
    <row r="108" spans="1:10" x14ac:dyDescent="0.35">
      <c r="A108" s="1">
        <v>45891.613032407404</v>
      </c>
      <c r="B108" t="s">
        <v>235</v>
      </c>
      <c r="C108" t="s">
        <v>236</v>
      </c>
      <c r="D108" t="s">
        <v>20</v>
      </c>
      <c r="E108">
        <v>75</v>
      </c>
      <c r="F108">
        <v>109.7</v>
      </c>
      <c r="G108" t="s">
        <v>21</v>
      </c>
      <c r="H108" t="s">
        <v>238</v>
      </c>
      <c r="I108" t="s">
        <v>23</v>
      </c>
      <c r="J108" s="4" t="str">
        <f t="shared" si="1"/>
        <v>NIFTY</v>
      </c>
    </row>
    <row r="109" spans="1:10" x14ac:dyDescent="0.35">
      <c r="A109" s="1">
        <v>45891.617025462961</v>
      </c>
      <c r="B109" t="s">
        <v>239</v>
      </c>
      <c r="C109" t="s">
        <v>240</v>
      </c>
      <c r="D109" t="s">
        <v>26</v>
      </c>
      <c r="E109">
        <v>75</v>
      </c>
      <c r="F109">
        <v>73.349999999999994</v>
      </c>
      <c r="G109" t="s">
        <v>21</v>
      </c>
      <c r="H109" t="s">
        <v>241</v>
      </c>
      <c r="I109" t="s">
        <v>23</v>
      </c>
      <c r="J109" s="4" t="str">
        <f t="shared" si="1"/>
        <v>NIFTY</v>
      </c>
    </row>
    <row r="110" spans="1:10" x14ac:dyDescent="0.35">
      <c r="A110" s="1">
        <v>45894.385451388887</v>
      </c>
      <c r="B110" t="s">
        <v>239</v>
      </c>
      <c r="C110" t="s">
        <v>240</v>
      </c>
      <c r="D110" t="s">
        <v>20</v>
      </c>
      <c r="E110">
        <v>75</v>
      </c>
      <c r="F110">
        <v>47.6</v>
      </c>
      <c r="G110" t="s">
        <v>21</v>
      </c>
      <c r="H110" t="s">
        <v>242</v>
      </c>
      <c r="I110" t="s">
        <v>23</v>
      </c>
      <c r="J110" s="4" t="str">
        <f t="shared" si="1"/>
        <v>NIFTY</v>
      </c>
    </row>
    <row r="111" spans="1:10" x14ac:dyDescent="0.35">
      <c r="A111" s="1">
        <v>45894.390138888892</v>
      </c>
      <c r="B111" t="s">
        <v>194</v>
      </c>
      <c r="C111" t="s">
        <v>195</v>
      </c>
      <c r="D111" t="s">
        <v>20</v>
      </c>
      <c r="E111">
        <v>125</v>
      </c>
      <c r="F111">
        <v>9.85</v>
      </c>
      <c r="G111" t="s">
        <v>21</v>
      </c>
      <c r="H111" t="s">
        <v>243</v>
      </c>
      <c r="I111" t="s">
        <v>23</v>
      </c>
      <c r="J111" s="4" t="str">
        <f t="shared" si="1"/>
        <v>APOLLOHOSP</v>
      </c>
    </row>
    <row r="112" spans="1:10" x14ac:dyDescent="0.35">
      <c r="A112" s="1">
        <v>45894.401608796295</v>
      </c>
      <c r="B112" t="s">
        <v>223</v>
      </c>
      <c r="C112" t="s">
        <v>224</v>
      </c>
      <c r="D112" t="s">
        <v>20</v>
      </c>
      <c r="E112">
        <v>400</v>
      </c>
      <c r="F112">
        <v>30</v>
      </c>
      <c r="G112" t="s">
        <v>21</v>
      </c>
      <c r="H112" t="s">
        <v>244</v>
      </c>
      <c r="I112" t="s">
        <v>23</v>
      </c>
      <c r="J112" s="4" t="str">
        <f t="shared" si="1"/>
        <v>INFY</v>
      </c>
    </row>
    <row r="113" spans="1:10" x14ac:dyDescent="0.35">
      <c r="A113" s="1">
        <v>45894.407696759263</v>
      </c>
      <c r="B113" t="s">
        <v>216</v>
      </c>
      <c r="C113" t="s">
        <v>217</v>
      </c>
      <c r="D113" t="s">
        <v>26</v>
      </c>
      <c r="E113">
        <v>400</v>
      </c>
      <c r="F113">
        <v>1538.2</v>
      </c>
      <c r="G113" t="s">
        <v>21</v>
      </c>
      <c r="H113" t="s">
        <v>245</v>
      </c>
      <c r="I113" t="s">
        <v>23</v>
      </c>
      <c r="J113" s="4" t="str">
        <f t="shared" si="1"/>
        <v>INFY</v>
      </c>
    </row>
    <row r="114" spans="1:10" x14ac:dyDescent="0.35">
      <c r="A114" s="1">
        <v>45895.385729166665</v>
      </c>
      <c r="B114" t="s">
        <v>246</v>
      </c>
      <c r="C114" t="s">
        <v>247</v>
      </c>
      <c r="D114" t="s">
        <v>26</v>
      </c>
      <c r="E114">
        <v>175</v>
      </c>
      <c r="F114">
        <v>3676.5</v>
      </c>
      <c r="G114" t="s">
        <v>21</v>
      </c>
      <c r="H114" t="s">
        <v>248</v>
      </c>
      <c r="I114" t="s">
        <v>23</v>
      </c>
      <c r="J114" s="4" t="str">
        <f t="shared" si="1"/>
        <v>TITAN</v>
      </c>
    </row>
    <row r="115" spans="1:10" x14ac:dyDescent="0.35">
      <c r="A115" s="1">
        <v>45895.390011574076</v>
      </c>
      <c r="B115" t="s">
        <v>216</v>
      </c>
      <c r="C115" t="s">
        <v>217</v>
      </c>
      <c r="D115" t="s">
        <v>20</v>
      </c>
      <c r="E115">
        <v>400</v>
      </c>
      <c r="F115">
        <v>1541.3</v>
      </c>
      <c r="G115" t="s">
        <v>21</v>
      </c>
      <c r="H115" t="s">
        <v>249</v>
      </c>
      <c r="I115" t="s">
        <v>23</v>
      </c>
      <c r="J115" s="4" t="str">
        <f t="shared" si="1"/>
        <v>INFY</v>
      </c>
    </row>
    <row r="116" spans="1:10" x14ac:dyDescent="0.35">
      <c r="A116" s="1">
        <v>45895.398738425924</v>
      </c>
      <c r="B116" t="s">
        <v>250</v>
      </c>
      <c r="C116" t="s">
        <v>251</v>
      </c>
      <c r="D116" t="s">
        <v>26</v>
      </c>
      <c r="E116">
        <v>50</v>
      </c>
      <c r="F116">
        <v>340.4</v>
      </c>
      <c r="G116" t="s">
        <v>21</v>
      </c>
      <c r="H116" t="s">
        <v>252</v>
      </c>
      <c r="I116" t="s">
        <v>23</v>
      </c>
      <c r="J116" s="4" t="str">
        <f t="shared" si="1"/>
        <v>MARUTI</v>
      </c>
    </row>
    <row r="117" spans="1:10" x14ac:dyDescent="0.35">
      <c r="A117" s="1">
        <v>45895.480057870373</v>
      </c>
      <c r="B117" t="s">
        <v>250</v>
      </c>
      <c r="C117" t="s">
        <v>251</v>
      </c>
      <c r="D117" t="s">
        <v>20</v>
      </c>
      <c r="E117">
        <v>50</v>
      </c>
      <c r="F117">
        <v>444.05</v>
      </c>
      <c r="G117" t="s">
        <v>21</v>
      </c>
      <c r="H117" t="s">
        <v>253</v>
      </c>
      <c r="I117" t="s">
        <v>23</v>
      </c>
      <c r="J117" s="4" t="str">
        <f t="shared" si="1"/>
        <v>MARUTI</v>
      </c>
    </row>
    <row r="118" spans="1:10" x14ac:dyDescent="0.35">
      <c r="A118" s="1">
        <v>45895.554236111115</v>
      </c>
      <c r="B118" t="s">
        <v>254</v>
      </c>
      <c r="C118" t="s">
        <v>255</v>
      </c>
      <c r="D118" t="s">
        <v>26</v>
      </c>
      <c r="E118">
        <v>50</v>
      </c>
      <c r="F118">
        <v>363.9</v>
      </c>
      <c r="G118" t="s">
        <v>21</v>
      </c>
      <c r="H118" t="s">
        <v>256</v>
      </c>
      <c r="I118" t="s">
        <v>23</v>
      </c>
      <c r="J118" s="4" t="str">
        <f t="shared" si="1"/>
        <v>MARUTI</v>
      </c>
    </row>
    <row r="119" spans="1:10" x14ac:dyDescent="0.35">
      <c r="A119" s="1">
        <v>45897.397511574076</v>
      </c>
      <c r="B119" t="s">
        <v>257</v>
      </c>
      <c r="C119" t="s">
        <v>258</v>
      </c>
      <c r="D119" t="s">
        <v>26</v>
      </c>
      <c r="E119">
        <v>75</v>
      </c>
      <c r="F119">
        <v>95.85</v>
      </c>
      <c r="G119" t="s">
        <v>21</v>
      </c>
      <c r="H119" t="s">
        <v>259</v>
      </c>
      <c r="I119" t="s">
        <v>23</v>
      </c>
      <c r="J119" s="4" t="str">
        <f t="shared" si="1"/>
        <v>NIFTY</v>
      </c>
    </row>
    <row r="120" spans="1:10" x14ac:dyDescent="0.35">
      <c r="A120" s="1">
        <v>45897.413101851853</v>
      </c>
      <c r="B120" t="s">
        <v>260</v>
      </c>
      <c r="C120" t="s">
        <v>261</v>
      </c>
      <c r="D120" t="s">
        <v>26</v>
      </c>
      <c r="E120">
        <v>1355</v>
      </c>
      <c r="F120">
        <v>20.75</v>
      </c>
      <c r="G120" t="s">
        <v>21</v>
      </c>
      <c r="H120" t="s">
        <v>262</v>
      </c>
      <c r="I120" t="s">
        <v>23</v>
      </c>
      <c r="J120" s="4" t="str">
        <f t="shared" si="1"/>
        <v>UPL</v>
      </c>
    </row>
    <row r="121" spans="1:10" x14ac:dyDescent="0.35">
      <c r="A121" s="1">
        <v>45897.427361111113</v>
      </c>
      <c r="B121" t="s">
        <v>260</v>
      </c>
      <c r="C121" t="s">
        <v>261</v>
      </c>
      <c r="D121" t="s">
        <v>20</v>
      </c>
      <c r="E121">
        <v>1355</v>
      </c>
      <c r="F121">
        <v>21.95</v>
      </c>
      <c r="G121" t="s">
        <v>21</v>
      </c>
      <c r="H121" t="s">
        <v>263</v>
      </c>
      <c r="I121" t="s">
        <v>23</v>
      </c>
      <c r="J121" s="4" t="str">
        <f t="shared" si="1"/>
        <v>UPL</v>
      </c>
    </row>
    <row r="122" spans="1:10" x14ac:dyDescent="0.35">
      <c r="A122" s="1">
        <v>45897.439976851849</v>
      </c>
      <c r="B122" t="s">
        <v>260</v>
      </c>
      <c r="C122" t="s">
        <v>261</v>
      </c>
      <c r="D122" t="s">
        <v>26</v>
      </c>
      <c r="E122">
        <v>1355</v>
      </c>
      <c r="F122">
        <v>18.2</v>
      </c>
      <c r="G122" t="s">
        <v>21</v>
      </c>
      <c r="H122" t="s">
        <v>264</v>
      </c>
      <c r="I122" t="s">
        <v>23</v>
      </c>
      <c r="J122" s="4" t="str">
        <f t="shared" si="1"/>
        <v>UPL</v>
      </c>
    </row>
    <row r="123" spans="1:10" x14ac:dyDescent="0.35">
      <c r="A123" s="1">
        <v>45897.457141203704</v>
      </c>
      <c r="B123" t="s">
        <v>265</v>
      </c>
      <c r="C123" t="s">
        <v>266</v>
      </c>
      <c r="D123" t="s">
        <v>26</v>
      </c>
      <c r="E123">
        <v>375</v>
      </c>
      <c r="F123">
        <v>34.299999999999997</v>
      </c>
      <c r="G123" t="s">
        <v>21</v>
      </c>
      <c r="H123" t="s">
        <v>267</v>
      </c>
      <c r="I123" t="s">
        <v>23</v>
      </c>
      <c r="J123" s="4" t="str">
        <f t="shared" si="1"/>
        <v>CIPLA</v>
      </c>
    </row>
    <row r="124" spans="1:10" x14ac:dyDescent="0.35">
      <c r="A124" s="1">
        <v>45897.501875000002</v>
      </c>
      <c r="B124" t="s">
        <v>260</v>
      </c>
      <c r="C124" t="s">
        <v>261</v>
      </c>
      <c r="D124" t="s">
        <v>20</v>
      </c>
      <c r="E124">
        <v>1355</v>
      </c>
      <c r="F124">
        <v>19.45</v>
      </c>
      <c r="G124" t="s">
        <v>21</v>
      </c>
      <c r="H124" t="s">
        <v>268</v>
      </c>
      <c r="I124" t="s">
        <v>23</v>
      </c>
      <c r="J124" s="4" t="str">
        <f t="shared" si="1"/>
        <v>UPL</v>
      </c>
    </row>
    <row r="125" spans="1:10" x14ac:dyDescent="0.35">
      <c r="A125" s="1">
        <v>45897.516134259262</v>
      </c>
      <c r="B125" t="s">
        <v>254</v>
      </c>
      <c r="C125" t="s">
        <v>255</v>
      </c>
      <c r="D125" t="s">
        <v>20</v>
      </c>
      <c r="E125">
        <v>50</v>
      </c>
      <c r="F125">
        <v>384.25</v>
      </c>
      <c r="G125" t="s">
        <v>21</v>
      </c>
      <c r="H125" t="s">
        <v>269</v>
      </c>
      <c r="I125" t="s">
        <v>23</v>
      </c>
      <c r="J125" s="4" t="str">
        <f t="shared" si="1"/>
        <v>MARUTI</v>
      </c>
    </row>
    <row r="126" spans="1:10" x14ac:dyDescent="0.35">
      <c r="A126" s="1">
        <v>45897.52070601852</v>
      </c>
      <c r="B126" t="s">
        <v>246</v>
      </c>
      <c r="C126" t="s">
        <v>247</v>
      </c>
      <c r="D126" t="s">
        <v>20</v>
      </c>
      <c r="E126">
        <v>175</v>
      </c>
      <c r="F126">
        <v>3650</v>
      </c>
      <c r="G126" t="s">
        <v>21</v>
      </c>
      <c r="H126" t="s">
        <v>270</v>
      </c>
      <c r="I126" t="s">
        <v>23</v>
      </c>
      <c r="J126" s="4" t="str">
        <f t="shared" si="1"/>
        <v>TITAN</v>
      </c>
    </row>
    <row r="127" spans="1:10" x14ac:dyDescent="0.35">
      <c r="A127" s="1">
        <v>45897.524872685186</v>
      </c>
      <c r="B127" t="s">
        <v>260</v>
      </c>
      <c r="C127" t="s">
        <v>261</v>
      </c>
      <c r="D127" t="s">
        <v>26</v>
      </c>
      <c r="E127">
        <v>1355</v>
      </c>
      <c r="F127">
        <v>16.850000000000001</v>
      </c>
      <c r="G127" t="s">
        <v>21</v>
      </c>
      <c r="H127" t="s">
        <v>271</v>
      </c>
      <c r="I127" t="s">
        <v>23</v>
      </c>
      <c r="J127" s="4" t="str">
        <f t="shared" si="1"/>
        <v>UPL</v>
      </c>
    </row>
    <row r="128" spans="1:10" x14ac:dyDescent="0.35">
      <c r="A128" s="1">
        <v>45897.599675925929</v>
      </c>
      <c r="B128" t="s">
        <v>272</v>
      </c>
      <c r="C128" t="s">
        <v>273</v>
      </c>
      <c r="D128" t="s">
        <v>26</v>
      </c>
      <c r="E128">
        <v>3125</v>
      </c>
      <c r="F128">
        <v>8.35</v>
      </c>
      <c r="G128" t="s">
        <v>21</v>
      </c>
      <c r="H128" t="s">
        <v>274</v>
      </c>
      <c r="I128" t="s">
        <v>23</v>
      </c>
      <c r="J128" s="4" t="str">
        <f t="shared" si="1"/>
        <v>NYKAA</v>
      </c>
    </row>
    <row r="129" spans="1:10" x14ac:dyDescent="0.35">
      <c r="A129" s="1">
        <v>45898.442488425928</v>
      </c>
      <c r="B129" t="s">
        <v>275</v>
      </c>
      <c r="C129" t="s">
        <v>276</v>
      </c>
      <c r="D129" t="s">
        <v>26</v>
      </c>
      <c r="E129">
        <v>100</v>
      </c>
      <c r="F129">
        <v>5350</v>
      </c>
      <c r="G129" t="s">
        <v>21</v>
      </c>
      <c r="H129" t="s">
        <v>277</v>
      </c>
      <c r="I129" t="s">
        <v>23</v>
      </c>
      <c r="J129" s="4" t="str">
        <f t="shared" si="1"/>
        <v>TRENT</v>
      </c>
    </row>
    <row r="130" spans="1:10" x14ac:dyDescent="0.35">
      <c r="A130" s="1">
        <v>45898.604143518518</v>
      </c>
      <c r="B130" t="s">
        <v>265</v>
      </c>
      <c r="C130" t="s">
        <v>266</v>
      </c>
      <c r="D130" t="s">
        <v>20</v>
      </c>
      <c r="E130">
        <v>375</v>
      </c>
      <c r="F130">
        <v>35.049999999999997</v>
      </c>
      <c r="G130" t="s">
        <v>21</v>
      </c>
      <c r="H130" t="s">
        <v>278</v>
      </c>
      <c r="I130" t="s">
        <v>23</v>
      </c>
      <c r="J130" s="4" t="str">
        <f t="shared" si="1"/>
        <v>CIPLA</v>
      </c>
    </row>
    <row r="131" spans="1:10" x14ac:dyDescent="0.35">
      <c r="A131" s="1">
        <v>45898.634456018517</v>
      </c>
      <c r="B131" t="s">
        <v>257</v>
      </c>
      <c r="C131" t="s">
        <v>258</v>
      </c>
      <c r="D131" t="s">
        <v>20</v>
      </c>
      <c r="E131">
        <v>75</v>
      </c>
      <c r="F131">
        <v>98.05</v>
      </c>
      <c r="G131" t="s">
        <v>21</v>
      </c>
      <c r="H131" t="s">
        <v>279</v>
      </c>
      <c r="I131" t="s">
        <v>23</v>
      </c>
      <c r="J131" s="4" t="str">
        <f t="shared" si="1"/>
        <v>NIFTY</v>
      </c>
    </row>
    <row r="132" spans="1:10" x14ac:dyDescent="0.35">
      <c r="A132" s="1">
        <v>45901.392164351855</v>
      </c>
      <c r="B132" t="s">
        <v>280</v>
      </c>
      <c r="C132" t="s">
        <v>281</v>
      </c>
      <c r="D132" t="s">
        <v>26</v>
      </c>
      <c r="E132">
        <v>850</v>
      </c>
      <c r="F132">
        <v>26.4</v>
      </c>
      <c r="G132" t="s">
        <v>21</v>
      </c>
      <c r="H132" t="s">
        <v>282</v>
      </c>
      <c r="I132" t="s">
        <v>23</v>
      </c>
      <c r="J132" s="4" t="str">
        <f t="shared" si="1"/>
        <v>CGPOWER</v>
      </c>
    </row>
    <row r="133" spans="1:10" x14ac:dyDescent="0.35">
      <c r="A133" s="1">
        <v>45901.470625000002</v>
      </c>
      <c r="B133" t="s">
        <v>280</v>
      </c>
      <c r="C133" t="s">
        <v>281</v>
      </c>
      <c r="D133" t="s">
        <v>20</v>
      </c>
      <c r="E133">
        <v>850</v>
      </c>
      <c r="F133">
        <v>35.5</v>
      </c>
      <c r="G133" t="s">
        <v>21</v>
      </c>
      <c r="H133" t="s">
        <v>283</v>
      </c>
      <c r="I133" t="s">
        <v>23</v>
      </c>
      <c r="J133" s="4" t="str">
        <f t="shared" si="1"/>
        <v>CGPOWER</v>
      </c>
    </row>
    <row r="134" spans="1:10" x14ac:dyDescent="0.35">
      <c r="A134" s="1">
        <v>45901.603564814817</v>
      </c>
      <c r="B134" t="s">
        <v>275</v>
      </c>
      <c r="C134" t="s">
        <v>276</v>
      </c>
      <c r="D134" t="s">
        <v>20</v>
      </c>
      <c r="E134">
        <v>100</v>
      </c>
      <c r="F134">
        <v>5468</v>
      </c>
      <c r="G134" t="s">
        <v>21</v>
      </c>
      <c r="H134" t="s">
        <v>284</v>
      </c>
      <c r="I134" t="s">
        <v>23</v>
      </c>
      <c r="J134" s="4" t="str">
        <f t="shared" si="1"/>
        <v>TRENT</v>
      </c>
    </row>
    <row r="135" spans="1:10" x14ac:dyDescent="0.35">
      <c r="A135" s="1">
        <v>45902.387523148151</v>
      </c>
      <c r="B135" t="s">
        <v>285</v>
      </c>
      <c r="C135" t="s">
        <v>286</v>
      </c>
      <c r="D135" t="s">
        <v>26</v>
      </c>
      <c r="E135">
        <v>500</v>
      </c>
      <c r="F135">
        <v>34.9</v>
      </c>
      <c r="G135" t="s">
        <v>21</v>
      </c>
      <c r="H135" t="s">
        <v>287</v>
      </c>
      <c r="I135" t="s">
        <v>23</v>
      </c>
      <c r="J135" s="4" t="str">
        <f t="shared" si="1"/>
        <v>RELIANCE</v>
      </c>
    </row>
    <row r="136" spans="1:10" x14ac:dyDescent="0.35">
      <c r="A136" s="1">
        <v>45902.419930555552</v>
      </c>
      <c r="B136" t="s">
        <v>288</v>
      </c>
      <c r="C136" t="s">
        <v>289</v>
      </c>
      <c r="D136" t="s">
        <v>26</v>
      </c>
      <c r="E136">
        <v>850</v>
      </c>
      <c r="F136">
        <v>24.2</v>
      </c>
      <c r="G136" t="s">
        <v>21</v>
      </c>
      <c r="H136" t="s">
        <v>290</v>
      </c>
      <c r="I136" t="s">
        <v>23</v>
      </c>
      <c r="J136" s="4" t="str">
        <f t="shared" si="1"/>
        <v>CGPOWER</v>
      </c>
    </row>
    <row r="137" spans="1:10" x14ac:dyDescent="0.35">
      <c r="A137" s="1">
        <v>45902.425532407404</v>
      </c>
      <c r="B137" t="s">
        <v>285</v>
      </c>
      <c r="C137" t="s">
        <v>286</v>
      </c>
      <c r="D137" t="s">
        <v>20</v>
      </c>
      <c r="E137">
        <v>500</v>
      </c>
      <c r="F137">
        <v>36.950000000000003</v>
      </c>
      <c r="G137" t="s">
        <v>21</v>
      </c>
      <c r="H137" t="s">
        <v>291</v>
      </c>
      <c r="I137" t="s">
        <v>23</v>
      </c>
      <c r="J137" s="4" t="str">
        <f t="shared" ref="J137:J200" si="2">LEFT(B137,FIND(" ",B137)-1)</f>
        <v>RELIANCE</v>
      </c>
    </row>
    <row r="138" spans="1:10" x14ac:dyDescent="0.35">
      <c r="A138" s="1">
        <v>45902.460474537038</v>
      </c>
      <c r="B138" t="s">
        <v>288</v>
      </c>
      <c r="C138" t="s">
        <v>289</v>
      </c>
      <c r="D138" t="s">
        <v>20</v>
      </c>
      <c r="E138">
        <v>850</v>
      </c>
      <c r="F138">
        <v>30.1</v>
      </c>
      <c r="G138" t="s">
        <v>21</v>
      </c>
      <c r="H138" t="s">
        <v>292</v>
      </c>
      <c r="I138" t="s">
        <v>23</v>
      </c>
      <c r="J138" s="4" t="str">
        <f t="shared" si="2"/>
        <v>CGPOWER</v>
      </c>
    </row>
    <row r="139" spans="1:10" x14ac:dyDescent="0.35">
      <c r="A139" s="1">
        <v>45902.51703703704</v>
      </c>
      <c r="B139" t="s">
        <v>293</v>
      </c>
      <c r="C139" t="s">
        <v>294</v>
      </c>
      <c r="D139" t="s">
        <v>26</v>
      </c>
      <c r="E139">
        <v>275</v>
      </c>
      <c r="F139">
        <v>65.650000000000006</v>
      </c>
      <c r="G139" t="s">
        <v>21</v>
      </c>
      <c r="H139" t="s">
        <v>295</v>
      </c>
      <c r="I139" t="s">
        <v>23</v>
      </c>
      <c r="J139" s="4" t="str">
        <f t="shared" si="2"/>
        <v>MUTHOOTFIN</v>
      </c>
    </row>
    <row r="140" spans="1:10" x14ac:dyDescent="0.35">
      <c r="A140" s="1">
        <v>45902.599537037036</v>
      </c>
      <c r="B140" t="s">
        <v>296</v>
      </c>
      <c r="C140" t="s">
        <v>297</v>
      </c>
      <c r="D140" t="s">
        <v>26</v>
      </c>
      <c r="E140">
        <v>475</v>
      </c>
      <c r="F140">
        <v>29.85</v>
      </c>
      <c r="G140" t="s">
        <v>21</v>
      </c>
      <c r="H140" t="s">
        <v>298</v>
      </c>
      <c r="I140" t="s">
        <v>23</v>
      </c>
      <c r="J140" s="4" t="str">
        <f t="shared" si="2"/>
        <v>BHARTIARTL</v>
      </c>
    </row>
    <row r="141" spans="1:10" x14ac:dyDescent="0.35">
      <c r="A141" s="1">
        <v>45902.641504629632</v>
      </c>
      <c r="B141" t="s">
        <v>296</v>
      </c>
      <c r="C141" t="s">
        <v>297</v>
      </c>
      <c r="D141" t="s">
        <v>20</v>
      </c>
      <c r="E141">
        <v>475</v>
      </c>
      <c r="F141">
        <v>31.9</v>
      </c>
      <c r="G141" t="s">
        <v>21</v>
      </c>
      <c r="H141" t="s">
        <v>299</v>
      </c>
      <c r="I141" t="s">
        <v>23</v>
      </c>
      <c r="J141" s="4" t="str">
        <f t="shared" si="2"/>
        <v>BHARTIARTL</v>
      </c>
    </row>
    <row r="142" spans="1:10" x14ac:dyDescent="0.35">
      <c r="A142" s="1">
        <v>45903.393078703702</v>
      </c>
      <c r="B142" t="s">
        <v>300</v>
      </c>
      <c r="C142" t="s">
        <v>301</v>
      </c>
      <c r="D142" t="s">
        <v>26</v>
      </c>
      <c r="E142">
        <v>375</v>
      </c>
      <c r="F142">
        <v>57.5</v>
      </c>
      <c r="G142" t="s">
        <v>21</v>
      </c>
      <c r="H142" t="s">
        <v>302</v>
      </c>
      <c r="I142" t="s">
        <v>23</v>
      </c>
      <c r="J142" s="4" t="str">
        <f t="shared" si="2"/>
        <v>GLENMARK</v>
      </c>
    </row>
    <row r="143" spans="1:10" x14ac:dyDescent="0.35">
      <c r="A143" s="1">
        <v>45903.421875</v>
      </c>
      <c r="B143" t="s">
        <v>293</v>
      </c>
      <c r="C143" t="s">
        <v>294</v>
      </c>
      <c r="D143" t="s">
        <v>20</v>
      </c>
      <c r="E143">
        <v>275</v>
      </c>
      <c r="F143">
        <v>103.05</v>
      </c>
      <c r="G143" t="s">
        <v>21</v>
      </c>
      <c r="H143" t="s">
        <v>303</v>
      </c>
      <c r="I143" t="s">
        <v>23</v>
      </c>
      <c r="J143" s="4" t="str">
        <f t="shared" si="2"/>
        <v>MUTHOOTFIN</v>
      </c>
    </row>
    <row r="144" spans="1:10" x14ac:dyDescent="0.35">
      <c r="A144" s="1">
        <v>45903.479710648149</v>
      </c>
      <c r="B144" t="s">
        <v>304</v>
      </c>
      <c r="C144" t="s">
        <v>305</v>
      </c>
      <c r="D144" t="s">
        <v>26</v>
      </c>
      <c r="E144">
        <v>375</v>
      </c>
      <c r="F144">
        <v>60.6</v>
      </c>
      <c r="G144" t="s">
        <v>21</v>
      </c>
      <c r="H144" t="s">
        <v>306</v>
      </c>
      <c r="I144" t="s">
        <v>23</v>
      </c>
      <c r="J144" s="4" t="str">
        <f t="shared" si="2"/>
        <v>GLENMARK</v>
      </c>
    </row>
    <row r="145" spans="1:10" x14ac:dyDescent="0.35">
      <c r="A145" s="1">
        <v>45903.489583333336</v>
      </c>
      <c r="B145" t="s">
        <v>272</v>
      </c>
      <c r="C145" t="s">
        <v>273</v>
      </c>
      <c r="D145" t="s">
        <v>20</v>
      </c>
      <c r="E145">
        <v>3125</v>
      </c>
      <c r="F145">
        <v>8.6999999999999993</v>
      </c>
      <c r="G145" t="s">
        <v>21</v>
      </c>
      <c r="H145" t="s">
        <v>307</v>
      </c>
      <c r="I145" t="s">
        <v>23</v>
      </c>
      <c r="J145" s="4" t="str">
        <f t="shared" si="2"/>
        <v>NYKAA</v>
      </c>
    </row>
    <row r="146" spans="1:10" x14ac:dyDescent="0.35">
      <c r="A146" s="1">
        <v>45903.600856481484</v>
      </c>
      <c r="B146" t="s">
        <v>300</v>
      </c>
      <c r="C146" t="s">
        <v>301</v>
      </c>
      <c r="D146" t="s">
        <v>20</v>
      </c>
      <c r="E146">
        <v>375</v>
      </c>
      <c r="F146">
        <v>96.95</v>
      </c>
      <c r="G146" t="s">
        <v>21</v>
      </c>
      <c r="H146" t="s">
        <v>308</v>
      </c>
      <c r="I146" t="s">
        <v>23</v>
      </c>
      <c r="J146" s="4" t="str">
        <f t="shared" si="2"/>
        <v>GLENMARK</v>
      </c>
    </row>
    <row r="147" spans="1:10" x14ac:dyDescent="0.35">
      <c r="A147" s="1">
        <v>45904.386180555557</v>
      </c>
      <c r="B147" t="s">
        <v>309</v>
      </c>
      <c r="C147" t="s">
        <v>310</v>
      </c>
      <c r="D147" t="s">
        <v>26</v>
      </c>
      <c r="E147">
        <v>800</v>
      </c>
      <c r="F147">
        <v>16.45</v>
      </c>
      <c r="G147" t="s">
        <v>21</v>
      </c>
      <c r="H147" t="s">
        <v>311</v>
      </c>
      <c r="I147" t="s">
        <v>23</v>
      </c>
      <c r="J147" s="4" t="str">
        <f t="shared" si="2"/>
        <v>TATAMOTORS</v>
      </c>
    </row>
    <row r="148" spans="1:10" x14ac:dyDescent="0.35">
      <c r="A148" s="1">
        <v>45904.393460648149</v>
      </c>
      <c r="B148" t="s">
        <v>312</v>
      </c>
      <c r="C148" t="s">
        <v>313</v>
      </c>
      <c r="D148" t="s">
        <v>26</v>
      </c>
      <c r="E148">
        <v>300</v>
      </c>
      <c r="F148">
        <v>45.3</v>
      </c>
      <c r="G148" t="s">
        <v>21</v>
      </c>
      <c r="H148" t="s">
        <v>314</v>
      </c>
      <c r="I148" t="s">
        <v>23</v>
      </c>
      <c r="J148" s="4" t="str">
        <f t="shared" si="2"/>
        <v>PATANJALI</v>
      </c>
    </row>
    <row r="149" spans="1:10" x14ac:dyDescent="0.35">
      <c r="A149" s="1">
        <v>45904.395960648151</v>
      </c>
      <c r="B149" t="s">
        <v>315</v>
      </c>
      <c r="C149" t="s">
        <v>316</v>
      </c>
      <c r="D149" t="s">
        <v>26</v>
      </c>
      <c r="E149">
        <v>75</v>
      </c>
      <c r="F149">
        <v>117.05</v>
      </c>
      <c r="G149" t="s">
        <v>21</v>
      </c>
      <c r="H149" t="s">
        <v>317</v>
      </c>
      <c r="I149" t="s">
        <v>23</v>
      </c>
      <c r="J149" s="4" t="str">
        <f t="shared" si="2"/>
        <v>NIFTY</v>
      </c>
    </row>
    <row r="150" spans="1:10" x14ac:dyDescent="0.35">
      <c r="A150" s="1">
        <v>45904.43037037037</v>
      </c>
      <c r="B150" t="s">
        <v>318</v>
      </c>
      <c r="C150" t="s">
        <v>319</v>
      </c>
      <c r="D150" t="s">
        <v>26</v>
      </c>
      <c r="E150">
        <v>75</v>
      </c>
      <c r="F150">
        <v>60.3</v>
      </c>
      <c r="G150" t="s">
        <v>21</v>
      </c>
      <c r="H150" t="s">
        <v>320</v>
      </c>
      <c r="I150" t="s">
        <v>23</v>
      </c>
      <c r="J150" s="4" t="str">
        <f t="shared" si="2"/>
        <v>NIFTY</v>
      </c>
    </row>
    <row r="151" spans="1:10" x14ac:dyDescent="0.35">
      <c r="A151" s="1">
        <v>45904.433437500003</v>
      </c>
      <c r="B151" t="s">
        <v>321</v>
      </c>
      <c r="C151" t="s">
        <v>322</v>
      </c>
      <c r="D151" t="s">
        <v>26</v>
      </c>
      <c r="E151">
        <v>50</v>
      </c>
      <c r="F151">
        <v>222.55</v>
      </c>
      <c r="G151" t="s">
        <v>21</v>
      </c>
      <c r="H151" t="s">
        <v>323</v>
      </c>
      <c r="I151" t="s">
        <v>23</v>
      </c>
      <c r="J151" s="4" t="str">
        <f t="shared" si="2"/>
        <v>MARUTI</v>
      </c>
    </row>
    <row r="152" spans="1:10" x14ac:dyDescent="0.35">
      <c r="A152" s="1">
        <v>45904.48914351852</v>
      </c>
      <c r="B152" t="s">
        <v>324</v>
      </c>
      <c r="C152" t="s">
        <v>325</v>
      </c>
      <c r="D152" t="s">
        <v>26</v>
      </c>
      <c r="E152">
        <v>500</v>
      </c>
      <c r="F152">
        <v>1253.5</v>
      </c>
      <c r="G152" t="s">
        <v>21</v>
      </c>
      <c r="H152" t="s">
        <v>326</v>
      </c>
      <c r="I152" t="s">
        <v>23</v>
      </c>
      <c r="J152" s="4" t="str">
        <f t="shared" si="2"/>
        <v>GODREJCP</v>
      </c>
    </row>
    <row r="153" spans="1:10" x14ac:dyDescent="0.35">
      <c r="A153" s="1">
        <v>45905.390543981484</v>
      </c>
      <c r="B153" t="s">
        <v>327</v>
      </c>
      <c r="C153" t="s">
        <v>328</v>
      </c>
      <c r="D153" t="s">
        <v>26</v>
      </c>
      <c r="E153">
        <v>125</v>
      </c>
      <c r="F153">
        <v>114</v>
      </c>
      <c r="G153" t="s">
        <v>21</v>
      </c>
      <c r="H153" t="s">
        <v>329</v>
      </c>
      <c r="I153" t="s">
        <v>23</v>
      </c>
      <c r="J153" s="4" t="str">
        <f t="shared" si="2"/>
        <v>BRITANNIA</v>
      </c>
    </row>
    <row r="154" spans="1:10" x14ac:dyDescent="0.35">
      <c r="A154" s="1">
        <v>45905.398726851854</v>
      </c>
      <c r="B154" t="s">
        <v>330</v>
      </c>
      <c r="C154" t="s">
        <v>331</v>
      </c>
      <c r="D154" t="s">
        <v>26</v>
      </c>
      <c r="E154">
        <v>900</v>
      </c>
      <c r="F154">
        <v>24.5</v>
      </c>
      <c r="G154" t="s">
        <v>21</v>
      </c>
      <c r="H154" t="s">
        <v>332</v>
      </c>
      <c r="I154" t="s">
        <v>23</v>
      </c>
      <c r="J154" s="4" t="str">
        <f t="shared" si="2"/>
        <v>ZYDUSLIFE</v>
      </c>
    </row>
    <row r="155" spans="1:10" x14ac:dyDescent="0.35">
      <c r="A155" s="1">
        <v>45905.421990740739</v>
      </c>
      <c r="B155" t="s">
        <v>304</v>
      </c>
      <c r="C155" t="s">
        <v>305</v>
      </c>
      <c r="D155" t="s">
        <v>20</v>
      </c>
      <c r="E155">
        <v>375</v>
      </c>
      <c r="F155">
        <v>89.6</v>
      </c>
      <c r="G155" t="s">
        <v>21</v>
      </c>
      <c r="H155" t="s">
        <v>333</v>
      </c>
      <c r="I155" t="s">
        <v>23</v>
      </c>
      <c r="J155" s="4" t="str">
        <f t="shared" si="2"/>
        <v>GLENMARK</v>
      </c>
    </row>
    <row r="156" spans="1:10" x14ac:dyDescent="0.35">
      <c r="A156" s="1">
        <v>45905.423055555555</v>
      </c>
      <c r="B156" t="s">
        <v>330</v>
      </c>
      <c r="C156" t="s">
        <v>331</v>
      </c>
      <c r="D156" t="s">
        <v>20</v>
      </c>
      <c r="E156">
        <v>900</v>
      </c>
      <c r="F156">
        <v>31.65</v>
      </c>
      <c r="G156" t="s">
        <v>21</v>
      </c>
      <c r="H156" t="s">
        <v>334</v>
      </c>
      <c r="I156" t="s">
        <v>23</v>
      </c>
      <c r="J156" s="4" t="str">
        <f t="shared" si="2"/>
        <v>ZYDUSLIFE</v>
      </c>
    </row>
    <row r="157" spans="1:10" x14ac:dyDescent="0.35">
      <c r="A157" s="1">
        <v>45905.435810185183</v>
      </c>
      <c r="B157" t="s">
        <v>335</v>
      </c>
      <c r="C157" t="s">
        <v>336</v>
      </c>
      <c r="D157" t="s">
        <v>26</v>
      </c>
      <c r="E157">
        <v>75</v>
      </c>
      <c r="F157">
        <v>100.6</v>
      </c>
      <c r="G157" t="s">
        <v>21</v>
      </c>
      <c r="H157" t="s">
        <v>337</v>
      </c>
      <c r="I157" t="s">
        <v>23</v>
      </c>
      <c r="J157" s="4" t="str">
        <f t="shared" si="2"/>
        <v>NIFTY</v>
      </c>
    </row>
    <row r="158" spans="1:10" x14ac:dyDescent="0.35">
      <c r="A158" s="1">
        <v>45905.447233796294</v>
      </c>
      <c r="B158" t="s">
        <v>338</v>
      </c>
      <c r="C158" t="s">
        <v>339</v>
      </c>
      <c r="D158" t="s">
        <v>26</v>
      </c>
      <c r="E158">
        <v>75</v>
      </c>
      <c r="F158">
        <v>220.05</v>
      </c>
      <c r="G158" t="s">
        <v>21</v>
      </c>
      <c r="H158" t="s">
        <v>340</v>
      </c>
      <c r="I158" t="s">
        <v>23</v>
      </c>
      <c r="J158" s="4" t="str">
        <f t="shared" si="2"/>
        <v>BAJAJ-AUTO</v>
      </c>
    </row>
    <row r="159" spans="1:10" x14ac:dyDescent="0.35">
      <c r="A159" s="1">
        <v>45905.458182870374</v>
      </c>
      <c r="B159" t="s">
        <v>341</v>
      </c>
      <c r="C159" t="s">
        <v>342</v>
      </c>
      <c r="D159" t="s">
        <v>26</v>
      </c>
      <c r="E159">
        <v>900</v>
      </c>
      <c r="F159">
        <v>26.8</v>
      </c>
      <c r="G159" t="s">
        <v>21</v>
      </c>
      <c r="H159" t="s">
        <v>343</v>
      </c>
      <c r="I159" t="s">
        <v>23</v>
      </c>
      <c r="J159" s="4" t="str">
        <f t="shared" si="2"/>
        <v>ZYDUSLIFE</v>
      </c>
    </row>
    <row r="160" spans="1:10" x14ac:dyDescent="0.35">
      <c r="A160" s="1">
        <v>45905.608749999999</v>
      </c>
      <c r="B160" t="s">
        <v>335</v>
      </c>
      <c r="C160" t="s">
        <v>336</v>
      </c>
      <c r="D160" t="s">
        <v>20</v>
      </c>
      <c r="E160">
        <v>75</v>
      </c>
      <c r="F160">
        <v>116.35</v>
      </c>
      <c r="G160" t="s">
        <v>21</v>
      </c>
      <c r="H160" t="s">
        <v>344</v>
      </c>
      <c r="I160" t="s">
        <v>23</v>
      </c>
      <c r="J160" s="4" t="str">
        <f t="shared" si="2"/>
        <v>NIFTY</v>
      </c>
    </row>
    <row r="161" spans="1:10" x14ac:dyDescent="0.35">
      <c r="A161" s="1">
        <v>45905.626736111109</v>
      </c>
      <c r="B161" t="s">
        <v>327</v>
      </c>
      <c r="C161" t="s">
        <v>328</v>
      </c>
      <c r="D161" t="s">
        <v>20</v>
      </c>
      <c r="E161">
        <v>125</v>
      </c>
      <c r="F161">
        <v>125.5</v>
      </c>
      <c r="G161" t="s">
        <v>21</v>
      </c>
      <c r="H161" t="s">
        <v>345</v>
      </c>
      <c r="I161" t="s">
        <v>23</v>
      </c>
      <c r="J161" s="4" t="str">
        <f t="shared" si="2"/>
        <v>BRITANNIA</v>
      </c>
    </row>
    <row r="162" spans="1:10" x14ac:dyDescent="0.35">
      <c r="A162" s="1">
        <v>45908.462488425925</v>
      </c>
      <c r="B162" t="s">
        <v>309</v>
      </c>
      <c r="C162" t="s">
        <v>310</v>
      </c>
      <c r="D162" t="s">
        <v>20</v>
      </c>
      <c r="E162">
        <v>800</v>
      </c>
      <c r="F162">
        <v>22.8</v>
      </c>
      <c r="G162" t="s">
        <v>21</v>
      </c>
      <c r="H162" t="s">
        <v>346</v>
      </c>
      <c r="I162" t="s">
        <v>23</v>
      </c>
      <c r="J162" s="4" t="str">
        <f t="shared" si="2"/>
        <v>TATAMOTORS</v>
      </c>
    </row>
    <row r="163" spans="1:10" x14ac:dyDescent="0.35">
      <c r="A163" s="1">
        <v>45908.49423611111</v>
      </c>
      <c r="B163" t="s">
        <v>338</v>
      </c>
      <c r="C163" t="s">
        <v>339</v>
      </c>
      <c r="D163" t="s">
        <v>20</v>
      </c>
      <c r="E163">
        <v>75</v>
      </c>
      <c r="F163">
        <v>331.3</v>
      </c>
      <c r="G163" t="s">
        <v>21</v>
      </c>
      <c r="H163" t="s">
        <v>347</v>
      </c>
      <c r="I163" t="s">
        <v>23</v>
      </c>
      <c r="J163" s="4" t="str">
        <f t="shared" si="2"/>
        <v>BAJAJ-AUTO</v>
      </c>
    </row>
    <row r="164" spans="1:10" x14ac:dyDescent="0.35">
      <c r="A164" s="1">
        <v>45908.549293981479</v>
      </c>
      <c r="B164" t="s">
        <v>321</v>
      </c>
      <c r="C164" t="s">
        <v>322</v>
      </c>
      <c r="D164" t="s">
        <v>20</v>
      </c>
      <c r="E164">
        <v>50</v>
      </c>
      <c r="F164">
        <v>327.64999999999998</v>
      </c>
      <c r="G164" t="s">
        <v>21</v>
      </c>
      <c r="H164" t="s">
        <v>348</v>
      </c>
      <c r="I164" t="s">
        <v>23</v>
      </c>
      <c r="J164" s="4" t="str">
        <f t="shared" si="2"/>
        <v>MARUTI</v>
      </c>
    </row>
    <row r="165" spans="1:10" x14ac:dyDescent="0.35">
      <c r="A165" s="1">
        <v>45908.645671296297</v>
      </c>
      <c r="B165" t="s">
        <v>349</v>
      </c>
      <c r="C165" t="s">
        <v>350</v>
      </c>
      <c r="D165" t="s">
        <v>26</v>
      </c>
      <c r="E165">
        <v>800</v>
      </c>
      <c r="F165">
        <v>14.9</v>
      </c>
      <c r="G165" t="s">
        <v>21</v>
      </c>
      <c r="H165" t="s">
        <v>351</v>
      </c>
      <c r="I165" t="s">
        <v>23</v>
      </c>
      <c r="J165" s="4" t="str">
        <f t="shared" si="2"/>
        <v>TATAMOTORS</v>
      </c>
    </row>
    <row r="166" spans="1:10" x14ac:dyDescent="0.35">
      <c r="A166" s="1">
        <v>45909.387326388889</v>
      </c>
      <c r="B166" t="s">
        <v>352</v>
      </c>
      <c r="C166" t="s">
        <v>353</v>
      </c>
      <c r="D166" t="s">
        <v>26</v>
      </c>
      <c r="E166">
        <v>400</v>
      </c>
      <c r="F166">
        <v>31.5</v>
      </c>
      <c r="G166" t="s">
        <v>21</v>
      </c>
      <c r="H166" t="s">
        <v>354</v>
      </c>
      <c r="I166" t="s">
        <v>23</v>
      </c>
      <c r="J166" s="4" t="str">
        <f t="shared" si="2"/>
        <v>INFY</v>
      </c>
    </row>
    <row r="167" spans="1:10" x14ac:dyDescent="0.35">
      <c r="A167" s="1">
        <v>45909.405405092592</v>
      </c>
      <c r="B167" t="s">
        <v>355</v>
      </c>
      <c r="C167" t="s">
        <v>356</v>
      </c>
      <c r="D167" t="s">
        <v>26</v>
      </c>
      <c r="E167">
        <v>100</v>
      </c>
      <c r="F167">
        <v>129</v>
      </c>
      <c r="G167" t="s">
        <v>21</v>
      </c>
      <c r="H167" t="s">
        <v>357</v>
      </c>
      <c r="I167" t="s">
        <v>23</v>
      </c>
      <c r="J167" s="4" t="str">
        <f t="shared" si="2"/>
        <v>TRENT</v>
      </c>
    </row>
    <row r="168" spans="1:10" x14ac:dyDescent="0.35">
      <c r="A168" s="1">
        <v>45909.453055555554</v>
      </c>
      <c r="B168" t="s">
        <v>352</v>
      </c>
      <c r="C168" t="s">
        <v>353</v>
      </c>
      <c r="D168" t="s">
        <v>20</v>
      </c>
      <c r="E168">
        <v>400</v>
      </c>
      <c r="F168">
        <v>45.1</v>
      </c>
      <c r="G168" t="s">
        <v>21</v>
      </c>
      <c r="H168" t="s">
        <v>358</v>
      </c>
      <c r="I168" t="s">
        <v>23</v>
      </c>
      <c r="J168" s="4" t="str">
        <f t="shared" si="2"/>
        <v>INFY</v>
      </c>
    </row>
    <row r="169" spans="1:10" x14ac:dyDescent="0.35">
      <c r="A169" s="1">
        <v>45909.45890046296</v>
      </c>
      <c r="B169" t="s">
        <v>359</v>
      </c>
      <c r="C169" t="s">
        <v>360</v>
      </c>
      <c r="D169" t="s">
        <v>26</v>
      </c>
      <c r="E169">
        <v>350</v>
      </c>
      <c r="F169">
        <v>68.95</v>
      </c>
      <c r="G169" t="s">
        <v>21</v>
      </c>
      <c r="H169" t="s">
        <v>361</v>
      </c>
      <c r="I169" t="s">
        <v>23</v>
      </c>
      <c r="J169" s="4" t="str">
        <f t="shared" si="2"/>
        <v>TVSMOTOR</v>
      </c>
    </row>
    <row r="170" spans="1:10" x14ac:dyDescent="0.35">
      <c r="A170" s="1">
        <v>45909.461608796293</v>
      </c>
      <c r="B170" t="s">
        <v>362</v>
      </c>
      <c r="C170" t="s">
        <v>363</v>
      </c>
      <c r="D170" t="s">
        <v>26</v>
      </c>
      <c r="E170">
        <v>850</v>
      </c>
      <c r="F170">
        <v>20.350000000000001</v>
      </c>
      <c r="G170" t="s">
        <v>21</v>
      </c>
      <c r="H170" t="s">
        <v>364</v>
      </c>
      <c r="I170" t="s">
        <v>23</v>
      </c>
      <c r="J170" s="4" t="str">
        <f t="shared" si="2"/>
        <v>CGPOWER</v>
      </c>
    </row>
    <row r="171" spans="1:10" x14ac:dyDescent="0.35">
      <c r="A171" s="1">
        <v>45909.613981481481</v>
      </c>
      <c r="B171" t="s">
        <v>365</v>
      </c>
      <c r="C171" t="s">
        <v>366</v>
      </c>
      <c r="D171" t="s">
        <v>26</v>
      </c>
      <c r="E171">
        <v>75</v>
      </c>
      <c r="F171">
        <v>117.75</v>
      </c>
      <c r="G171" t="s">
        <v>21</v>
      </c>
      <c r="H171" t="s">
        <v>367</v>
      </c>
      <c r="I171" t="s">
        <v>23</v>
      </c>
      <c r="J171" s="4" t="str">
        <f t="shared" si="2"/>
        <v>NIFTY</v>
      </c>
    </row>
    <row r="172" spans="1:10" x14ac:dyDescent="0.35">
      <c r="A172" s="1">
        <v>45909.623101851852</v>
      </c>
      <c r="B172" t="s">
        <v>315</v>
      </c>
      <c r="C172" t="s">
        <v>316</v>
      </c>
      <c r="D172" t="s">
        <v>20</v>
      </c>
      <c r="E172">
        <v>75</v>
      </c>
      <c r="F172">
        <v>1.6</v>
      </c>
      <c r="G172" t="s">
        <v>21</v>
      </c>
      <c r="H172" t="s">
        <v>368</v>
      </c>
      <c r="I172" t="s">
        <v>23</v>
      </c>
      <c r="J172" s="4" t="str">
        <f t="shared" si="2"/>
        <v>NIFTY</v>
      </c>
    </row>
    <row r="173" spans="1:10" x14ac:dyDescent="0.35">
      <c r="A173" s="1">
        <v>45909.633460648147</v>
      </c>
      <c r="B173" t="s">
        <v>341</v>
      </c>
      <c r="C173" t="s">
        <v>342</v>
      </c>
      <c r="D173" t="s">
        <v>20</v>
      </c>
      <c r="E173">
        <v>900</v>
      </c>
      <c r="F173">
        <v>32.4</v>
      </c>
      <c r="G173" t="s">
        <v>21</v>
      </c>
      <c r="H173" t="s">
        <v>369</v>
      </c>
      <c r="I173" t="s">
        <v>23</v>
      </c>
      <c r="J173" s="4" t="str">
        <f t="shared" si="2"/>
        <v>ZYDUSLIFE</v>
      </c>
    </row>
    <row r="174" spans="1:10" x14ac:dyDescent="0.35">
      <c r="A174" s="1">
        <v>45909.639513888891</v>
      </c>
      <c r="B174" t="s">
        <v>365</v>
      </c>
      <c r="C174" t="s">
        <v>366</v>
      </c>
      <c r="D174" t="s">
        <v>20</v>
      </c>
      <c r="E174">
        <v>75</v>
      </c>
      <c r="F174">
        <v>123.25</v>
      </c>
      <c r="G174" t="s">
        <v>21</v>
      </c>
      <c r="H174" t="s">
        <v>370</v>
      </c>
      <c r="I174" t="s">
        <v>23</v>
      </c>
      <c r="J174" s="4" t="str">
        <f t="shared" si="2"/>
        <v>NIFTY</v>
      </c>
    </row>
    <row r="175" spans="1:10" x14ac:dyDescent="0.35">
      <c r="A175" s="1">
        <v>45909.644733796296</v>
      </c>
      <c r="B175" t="s">
        <v>362</v>
      </c>
      <c r="C175" t="s">
        <v>363</v>
      </c>
      <c r="D175" t="s">
        <v>20</v>
      </c>
      <c r="E175">
        <v>850</v>
      </c>
      <c r="F175">
        <v>22.65</v>
      </c>
      <c r="G175" t="s">
        <v>21</v>
      </c>
      <c r="H175" t="s">
        <v>371</v>
      </c>
      <c r="I175" t="s">
        <v>23</v>
      </c>
      <c r="J175" s="4" t="str">
        <f t="shared" si="2"/>
        <v>CGPOWER</v>
      </c>
    </row>
    <row r="176" spans="1:10" x14ac:dyDescent="0.35">
      <c r="A176" s="1">
        <v>45910.39329861111</v>
      </c>
      <c r="B176" t="s">
        <v>372</v>
      </c>
      <c r="C176" t="s">
        <v>373</v>
      </c>
      <c r="D176" t="s">
        <v>26</v>
      </c>
      <c r="E176">
        <v>475</v>
      </c>
      <c r="F176">
        <v>21.1</v>
      </c>
      <c r="G176" t="s">
        <v>21</v>
      </c>
      <c r="H176" t="s">
        <v>374</v>
      </c>
      <c r="I176" t="s">
        <v>23</v>
      </c>
      <c r="J176" s="4" t="str">
        <f t="shared" si="2"/>
        <v>ADANIPORTS</v>
      </c>
    </row>
    <row r="177" spans="1:10" x14ac:dyDescent="0.35">
      <c r="A177" s="1">
        <v>45910.3984837963</v>
      </c>
      <c r="B177" t="s">
        <v>375</v>
      </c>
      <c r="C177" t="s">
        <v>376</v>
      </c>
      <c r="D177" t="s">
        <v>26</v>
      </c>
      <c r="E177">
        <v>6150</v>
      </c>
      <c r="F177">
        <v>3.8</v>
      </c>
      <c r="G177" t="s">
        <v>21</v>
      </c>
      <c r="H177" t="s">
        <v>377</v>
      </c>
      <c r="I177" t="s">
        <v>23</v>
      </c>
      <c r="J177" s="4" t="str">
        <f t="shared" si="2"/>
        <v>MOTHERSON</v>
      </c>
    </row>
    <row r="178" spans="1:10" x14ac:dyDescent="0.35">
      <c r="A178" s="1">
        <v>45910.400393518517</v>
      </c>
      <c r="B178" t="s">
        <v>378</v>
      </c>
      <c r="C178" t="s">
        <v>379</v>
      </c>
      <c r="D178" t="s">
        <v>26</v>
      </c>
      <c r="E178">
        <v>850</v>
      </c>
      <c r="F178">
        <v>21.2</v>
      </c>
      <c r="G178" t="s">
        <v>21</v>
      </c>
      <c r="H178" t="s">
        <v>380</v>
      </c>
      <c r="I178" t="s">
        <v>23</v>
      </c>
      <c r="J178" s="4" t="str">
        <f t="shared" si="2"/>
        <v>CGPOWER</v>
      </c>
    </row>
    <row r="179" spans="1:10" x14ac:dyDescent="0.35">
      <c r="A179" s="1">
        <v>45910.423518518517</v>
      </c>
      <c r="B179" t="s">
        <v>381</v>
      </c>
      <c r="C179" t="s">
        <v>382</v>
      </c>
      <c r="D179" t="s">
        <v>26</v>
      </c>
      <c r="E179">
        <v>4300</v>
      </c>
      <c r="F179">
        <v>6.05</v>
      </c>
      <c r="G179" t="s">
        <v>21</v>
      </c>
      <c r="H179" t="s">
        <v>383</v>
      </c>
      <c r="I179" t="s">
        <v>23</v>
      </c>
      <c r="J179" s="4" t="str">
        <f t="shared" si="2"/>
        <v>SAMMAANCAP</v>
      </c>
    </row>
    <row r="180" spans="1:10" x14ac:dyDescent="0.35">
      <c r="A180" s="1">
        <v>45910.447708333333</v>
      </c>
      <c r="B180" t="s">
        <v>378</v>
      </c>
      <c r="C180" t="s">
        <v>379</v>
      </c>
      <c r="D180" t="s">
        <v>20</v>
      </c>
      <c r="E180">
        <v>850</v>
      </c>
      <c r="F180">
        <v>28.8</v>
      </c>
      <c r="G180" t="s">
        <v>21</v>
      </c>
      <c r="H180" t="s">
        <v>384</v>
      </c>
      <c r="I180" t="s">
        <v>23</v>
      </c>
      <c r="J180" s="4" t="str">
        <f t="shared" si="2"/>
        <v>CGPOWER</v>
      </c>
    </row>
    <row r="181" spans="1:10" x14ac:dyDescent="0.35">
      <c r="A181" s="1">
        <v>45910.45039351852</v>
      </c>
      <c r="B181" t="s">
        <v>385</v>
      </c>
      <c r="C181" t="s">
        <v>386</v>
      </c>
      <c r="D181" t="s">
        <v>26</v>
      </c>
      <c r="E181">
        <v>75</v>
      </c>
      <c r="F181">
        <v>140.15</v>
      </c>
      <c r="G181" t="s">
        <v>21</v>
      </c>
      <c r="H181" t="s">
        <v>387</v>
      </c>
      <c r="I181" t="s">
        <v>23</v>
      </c>
      <c r="J181" s="4" t="str">
        <f t="shared" si="2"/>
        <v>NIFTY</v>
      </c>
    </row>
    <row r="182" spans="1:10" x14ac:dyDescent="0.35">
      <c r="A182" s="1">
        <v>45910.558877314812</v>
      </c>
      <c r="B182" t="s">
        <v>388</v>
      </c>
      <c r="C182" t="s">
        <v>389</v>
      </c>
      <c r="D182" t="s">
        <v>26</v>
      </c>
      <c r="E182">
        <v>75</v>
      </c>
      <c r="F182">
        <v>141</v>
      </c>
      <c r="G182" t="s">
        <v>21</v>
      </c>
      <c r="H182" t="s">
        <v>390</v>
      </c>
      <c r="I182" t="s">
        <v>23</v>
      </c>
      <c r="J182" s="4" t="str">
        <f t="shared" si="2"/>
        <v>NIFTY</v>
      </c>
    </row>
    <row r="183" spans="1:10" x14ac:dyDescent="0.35">
      <c r="A183" s="1">
        <v>45910.60596064815</v>
      </c>
      <c r="B183" t="s">
        <v>391</v>
      </c>
      <c r="C183" t="s">
        <v>392</v>
      </c>
      <c r="D183" t="s">
        <v>26</v>
      </c>
      <c r="E183">
        <v>325</v>
      </c>
      <c r="F183">
        <v>44.7</v>
      </c>
      <c r="G183" t="s">
        <v>21</v>
      </c>
      <c r="H183" t="s">
        <v>393</v>
      </c>
      <c r="I183" t="s">
        <v>23</v>
      </c>
      <c r="J183" s="4" t="str">
        <f t="shared" si="2"/>
        <v>BDL</v>
      </c>
    </row>
    <row r="184" spans="1:10" x14ac:dyDescent="0.35">
      <c r="A184" s="1">
        <v>45910.639479166668</v>
      </c>
      <c r="B184" t="s">
        <v>388</v>
      </c>
      <c r="C184" t="s">
        <v>389</v>
      </c>
      <c r="D184" t="s">
        <v>20</v>
      </c>
      <c r="E184">
        <v>75</v>
      </c>
      <c r="F184">
        <v>151.65</v>
      </c>
      <c r="G184" t="s">
        <v>21</v>
      </c>
      <c r="H184" t="s">
        <v>394</v>
      </c>
      <c r="I184" t="s">
        <v>23</v>
      </c>
      <c r="J184" s="4" t="str">
        <f t="shared" si="2"/>
        <v>NIFTY</v>
      </c>
    </row>
    <row r="185" spans="1:10" x14ac:dyDescent="0.35">
      <c r="A185" s="1">
        <v>45910.645451388889</v>
      </c>
      <c r="B185" t="s">
        <v>391</v>
      </c>
      <c r="C185" t="s">
        <v>392</v>
      </c>
      <c r="D185" t="s">
        <v>20</v>
      </c>
      <c r="E185">
        <v>325</v>
      </c>
      <c r="F185">
        <v>49.55</v>
      </c>
      <c r="G185" t="s">
        <v>21</v>
      </c>
      <c r="H185" t="s">
        <v>395</v>
      </c>
      <c r="I185" t="s">
        <v>23</v>
      </c>
      <c r="J185" s="4" t="str">
        <f t="shared" si="2"/>
        <v>BDL</v>
      </c>
    </row>
    <row r="186" spans="1:10" x14ac:dyDescent="0.35">
      <c r="A186" s="1">
        <v>45911.388182870367</v>
      </c>
      <c r="B186" t="s">
        <v>391</v>
      </c>
      <c r="C186" t="s">
        <v>392</v>
      </c>
      <c r="D186" t="s">
        <v>26</v>
      </c>
      <c r="E186">
        <v>325</v>
      </c>
      <c r="F186">
        <v>46.9</v>
      </c>
      <c r="G186" t="s">
        <v>21</v>
      </c>
      <c r="H186" t="s">
        <v>396</v>
      </c>
      <c r="I186" t="s">
        <v>23</v>
      </c>
      <c r="J186" s="4" t="str">
        <f t="shared" si="2"/>
        <v>BDL</v>
      </c>
    </row>
    <row r="187" spans="1:10" x14ac:dyDescent="0.35">
      <c r="A187" s="1">
        <v>45911.391018518516</v>
      </c>
      <c r="B187" t="s">
        <v>397</v>
      </c>
      <c r="C187" t="s">
        <v>398</v>
      </c>
      <c r="D187" t="s">
        <v>26</v>
      </c>
      <c r="E187">
        <v>75</v>
      </c>
      <c r="F187">
        <v>286.8</v>
      </c>
      <c r="G187" t="s">
        <v>21</v>
      </c>
      <c r="H187" t="s">
        <v>399</v>
      </c>
      <c r="I187" t="s">
        <v>23</v>
      </c>
      <c r="J187" s="4" t="str">
        <f t="shared" si="2"/>
        <v>OFSS</v>
      </c>
    </row>
    <row r="188" spans="1:10" x14ac:dyDescent="0.35">
      <c r="A188" s="1">
        <v>45911.43072916667</v>
      </c>
      <c r="B188" t="s">
        <v>400</v>
      </c>
      <c r="C188" t="s">
        <v>401</v>
      </c>
      <c r="D188" t="s">
        <v>26</v>
      </c>
      <c r="E188">
        <v>75</v>
      </c>
      <c r="F188">
        <v>319.89999999999998</v>
      </c>
      <c r="G188" t="s">
        <v>21</v>
      </c>
      <c r="H188" t="s">
        <v>402</v>
      </c>
      <c r="I188" t="s">
        <v>23</v>
      </c>
      <c r="J188" s="4" t="str">
        <f t="shared" si="2"/>
        <v>OFSS</v>
      </c>
    </row>
    <row r="189" spans="1:10" x14ac:dyDescent="0.35">
      <c r="A189" s="1">
        <v>45911.448483796295</v>
      </c>
      <c r="B189" t="s">
        <v>372</v>
      </c>
      <c r="C189" t="s">
        <v>373</v>
      </c>
      <c r="D189" t="s">
        <v>20</v>
      </c>
      <c r="E189">
        <v>475</v>
      </c>
      <c r="F189">
        <v>40.950000000000003</v>
      </c>
      <c r="G189" t="s">
        <v>21</v>
      </c>
      <c r="H189" t="s">
        <v>403</v>
      </c>
      <c r="I189" t="s">
        <v>23</v>
      </c>
      <c r="J189" s="4" t="str">
        <f t="shared" si="2"/>
        <v>ADANIPORTS</v>
      </c>
    </row>
    <row r="190" spans="1:10" x14ac:dyDescent="0.35">
      <c r="A190" s="1">
        <v>45911.456250000003</v>
      </c>
      <c r="B190" t="s">
        <v>404</v>
      </c>
      <c r="C190" t="s">
        <v>405</v>
      </c>
      <c r="D190" t="s">
        <v>26</v>
      </c>
      <c r="E190">
        <v>475</v>
      </c>
      <c r="F190">
        <v>28.6</v>
      </c>
      <c r="G190" t="s">
        <v>21</v>
      </c>
      <c r="H190" t="s">
        <v>406</v>
      </c>
      <c r="I190" t="s">
        <v>23</v>
      </c>
      <c r="J190" s="4" t="str">
        <f t="shared" si="2"/>
        <v>ADANIPORTS</v>
      </c>
    </row>
    <row r="191" spans="1:10" x14ac:dyDescent="0.35">
      <c r="A191" s="1">
        <v>45911.561736111114</v>
      </c>
      <c r="B191" t="s">
        <v>407</v>
      </c>
      <c r="C191" t="s">
        <v>408</v>
      </c>
      <c r="D191" t="s">
        <v>26</v>
      </c>
      <c r="E191">
        <v>2425</v>
      </c>
      <c r="F191">
        <v>7.75</v>
      </c>
      <c r="G191" t="s">
        <v>21</v>
      </c>
      <c r="H191" t="s">
        <v>409</v>
      </c>
      <c r="I191" t="s">
        <v>23</v>
      </c>
      <c r="J191" s="4" t="str">
        <f t="shared" si="2"/>
        <v>ETERNAL</v>
      </c>
    </row>
    <row r="192" spans="1:10" x14ac:dyDescent="0.35">
      <c r="A192" s="1">
        <v>45911.629363425927</v>
      </c>
      <c r="B192" t="s">
        <v>324</v>
      </c>
      <c r="C192" t="s">
        <v>325</v>
      </c>
      <c r="D192" t="s">
        <v>20</v>
      </c>
      <c r="E192">
        <v>500</v>
      </c>
      <c r="F192">
        <v>1256.9000000000001</v>
      </c>
      <c r="G192" t="s">
        <v>21</v>
      </c>
      <c r="H192" t="s">
        <v>410</v>
      </c>
      <c r="I192" t="s">
        <v>23</v>
      </c>
      <c r="J192" s="4" t="str">
        <f t="shared" si="2"/>
        <v>GODREJCP</v>
      </c>
    </row>
    <row r="193" spans="1:10" x14ac:dyDescent="0.35">
      <c r="A193" s="1">
        <v>45912.388773148145</v>
      </c>
      <c r="B193" t="s">
        <v>411</v>
      </c>
      <c r="C193" t="s">
        <v>412</v>
      </c>
      <c r="D193" t="s">
        <v>26</v>
      </c>
      <c r="E193">
        <v>50</v>
      </c>
      <c r="F193">
        <v>12438</v>
      </c>
      <c r="G193" t="s">
        <v>21</v>
      </c>
      <c r="H193" t="s">
        <v>413</v>
      </c>
      <c r="I193" t="s">
        <v>23</v>
      </c>
      <c r="J193" s="4" t="str">
        <f t="shared" si="2"/>
        <v>ULTRACEMCO</v>
      </c>
    </row>
    <row r="194" spans="1:10" x14ac:dyDescent="0.35">
      <c r="A194" s="1">
        <v>45912.405497685184</v>
      </c>
      <c r="B194" t="s">
        <v>414</v>
      </c>
      <c r="C194" t="s">
        <v>415</v>
      </c>
      <c r="D194" t="s">
        <v>26</v>
      </c>
      <c r="E194">
        <v>150</v>
      </c>
      <c r="F194">
        <v>5727</v>
      </c>
      <c r="G194" t="s">
        <v>21</v>
      </c>
      <c r="H194" t="s">
        <v>416</v>
      </c>
      <c r="I194" t="s">
        <v>23</v>
      </c>
      <c r="J194" s="4" t="str">
        <f t="shared" si="2"/>
        <v>INDIGO</v>
      </c>
    </row>
    <row r="195" spans="1:10" x14ac:dyDescent="0.35">
      <c r="A195" s="1">
        <v>45912.423113425924</v>
      </c>
      <c r="B195" t="s">
        <v>385</v>
      </c>
      <c r="C195" t="s">
        <v>386</v>
      </c>
      <c r="D195" t="s">
        <v>20</v>
      </c>
      <c r="E195">
        <v>75</v>
      </c>
      <c r="F195">
        <v>141.4</v>
      </c>
      <c r="G195" t="s">
        <v>21</v>
      </c>
      <c r="H195" t="s">
        <v>417</v>
      </c>
      <c r="I195" t="s">
        <v>23</v>
      </c>
      <c r="J195" s="4" t="str">
        <f t="shared" si="2"/>
        <v>NIFTY</v>
      </c>
    </row>
    <row r="196" spans="1:10" x14ac:dyDescent="0.35">
      <c r="A196" s="1">
        <v>45912.456597222219</v>
      </c>
      <c r="B196" t="s">
        <v>391</v>
      </c>
      <c r="C196" t="s">
        <v>392</v>
      </c>
      <c r="D196" t="s">
        <v>20</v>
      </c>
      <c r="E196">
        <v>325</v>
      </c>
      <c r="F196">
        <v>64.2</v>
      </c>
      <c r="G196" t="s">
        <v>21</v>
      </c>
      <c r="H196" t="s">
        <v>418</v>
      </c>
      <c r="I196" t="s">
        <v>23</v>
      </c>
      <c r="J196" s="4" t="str">
        <f t="shared" si="2"/>
        <v>BDL</v>
      </c>
    </row>
    <row r="197" spans="1:10" x14ac:dyDescent="0.35">
      <c r="A197" s="1">
        <v>45912.486956018518</v>
      </c>
      <c r="B197" t="s">
        <v>375</v>
      </c>
      <c r="C197" t="s">
        <v>376</v>
      </c>
      <c r="D197" t="s">
        <v>20</v>
      </c>
      <c r="E197">
        <v>6150</v>
      </c>
      <c r="F197">
        <v>5.55</v>
      </c>
      <c r="G197" t="s">
        <v>21</v>
      </c>
      <c r="H197" t="s">
        <v>419</v>
      </c>
      <c r="I197" t="s">
        <v>23</v>
      </c>
      <c r="J197" s="4" t="str">
        <f t="shared" si="2"/>
        <v>MOTHERSON</v>
      </c>
    </row>
    <row r="198" spans="1:10" x14ac:dyDescent="0.35">
      <c r="A198" s="1">
        <v>45912.49013888889</v>
      </c>
      <c r="B198" t="s">
        <v>411</v>
      </c>
      <c r="C198" t="s">
        <v>412</v>
      </c>
      <c r="D198" t="s">
        <v>20</v>
      </c>
      <c r="E198">
        <v>50</v>
      </c>
      <c r="F198">
        <v>12470</v>
      </c>
      <c r="G198" t="s">
        <v>21</v>
      </c>
      <c r="H198" t="s">
        <v>420</v>
      </c>
      <c r="I198" t="s">
        <v>23</v>
      </c>
      <c r="J198" s="4" t="str">
        <f t="shared" si="2"/>
        <v>ULTRACEMCO</v>
      </c>
    </row>
    <row r="199" spans="1:10" x14ac:dyDescent="0.35">
      <c r="A199" s="1">
        <v>45912.508333333331</v>
      </c>
      <c r="B199" t="s">
        <v>421</v>
      </c>
      <c r="C199" t="s">
        <v>422</v>
      </c>
      <c r="D199" t="s">
        <v>26</v>
      </c>
      <c r="E199">
        <v>50</v>
      </c>
      <c r="F199">
        <v>205.65</v>
      </c>
      <c r="G199" t="s">
        <v>21</v>
      </c>
      <c r="H199" t="s">
        <v>423</v>
      </c>
      <c r="I199" t="s">
        <v>23</v>
      </c>
      <c r="J199" s="4" t="str">
        <f t="shared" si="2"/>
        <v>ULTRACEMCO</v>
      </c>
    </row>
    <row r="200" spans="1:10" x14ac:dyDescent="0.35">
      <c r="A200" s="1">
        <v>45912.512939814813</v>
      </c>
      <c r="B200" t="s">
        <v>424</v>
      </c>
      <c r="C200" t="s">
        <v>425</v>
      </c>
      <c r="D200" t="s">
        <v>26</v>
      </c>
      <c r="E200">
        <v>475</v>
      </c>
      <c r="F200">
        <v>24.9</v>
      </c>
      <c r="G200" t="s">
        <v>21</v>
      </c>
      <c r="H200" t="s">
        <v>426</v>
      </c>
      <c r="I200" t="s">
        <v>23</v>
      </c>
      <c r="J200" s="4" t="str">
        <f t="shared" si="2"/>
        <v>BHARTIARTL</v>
      </c>
    </row>
    <row r="201" spans="1:10" x14ac:dyDescent="0.35">
      <c r="A201" s="1">
        <v>45912.571053240739</v>
      </c>
      <c r="B201" t="s">
        <v>318</v>
      </c>
      <c r="C201" t="s">
        <v>319</v>
      </c>
      <c r="D201" t="s">
        <v>20</v>
      </c>
      <c r="E201">
        <v>75</v>
      </c>
      <c r="F201">
        <v>47</v>
      </c>
      <c r="G201" t="s">
        <v>21</v>
      </c>
      <c r="H201" t="s">
        <v>427</v>
      </c>
      <c r="I201" t="s">
        <v>23</v>
      </c>
      <c r="J201" s="4" t="str">
        <f t="shared" ref="J201:J264" si="3">LEFT(B201,FIND(" ",B201)-1)</f>
        <v>NIFTY</v>
      </c>
    </row>
    <row r="202" spans="1:10" x14ac:dyDescent="0.35">
      <c r="A202" s="1">
        <v>45912.579456018517</v>
      </c>
      <c r="B202" t="s">
        <v>428</v>
      </c>
      <c r="C202" t="s">
        <v>429</v>
      </c>
      <c r="D202" t="s">
        <v>26</v>
      </c>
      <c r="E202">
        <v>75</v>
      </c>
      <c r="F202">
        <v>187.5</v>
      </c>
      <c r="G202" t="s">
        <v>21</v>
      </c>
      <c r="H202" t="s">
        <v>430</v>
      </c>
      <c r="I202" t="s">
        <v>23</v>
      </c>
      <c r="J202" s="4" t="str">
        <f t="shared" si="3"/>
        <v>NIFTY</v>
      </c>
    </row>
    <row r="203" spans="1:10" x14ac:dyDescent="0.35">
      <c r="A203" s="1">
        <v>45912.602743055555</v>
      </c>
      <c r="B203" t="s">
        <v>431</v>
      </c>
      <c r="C203" t="s">
        <v>432</v>
      </c>
      <c r="D203" t="s">
        <v>26</v>
      </c>
      <c r="E203">
        <v>75</v>
      </c>
      <c r="F203">
        <v>59.9</v>
      </c>
      <c r="G203" t="s">
        <v>21</v>
      </c>
      <c r="H203" t="s">
        <v>433</v>
      </c>
      <c r="I203" t="s">
        <v>23</v>
      </c>
      <c r="J203" s="4" t="str">
        <f t="shared" si="3"/>
        <v>NIFTY</v>
      </c>
    </row>
    <row r="204" spans="1:10" x14ac:dyDescent="0.35">
      <c r="A204" s="1">
        <v>45912.637326388889</v>
      </c>
      <c r="B204" t="s">
        <v>434</v>
      </c>
      <c r="C204" t="s">
        <v>435</v>
      </c>
      <c r="D204" t="s">
        <v>26</v>
      </c>
      <c r="E204">
        <v>6150</v>
      </c>
      <c r="F204">
        <v>1.05</v>
      </c>
      <c r="G204" t="s">
        <v>21</v>
      </c>
      <c r="H204" t="s">
        <v>436</v>
      </c>
      <c r="I204" t="s">
        <v>23</v>
      </c>
      <c r="J204" s="4" t="str">
        <f t="shared" si="3"/>
        <v>MOTHERSON</v>
      </c>
    </row>
    <row r="205" spans="1:10" x14ac:dyDescent="0.35">
      <c r="A205" s="1">
        <v>45915.390474537038</v>
      </c>
      <c r="B205" t="s">
        <v>421</v>
      </c>
      <c r="C205" t="s">
        <v>422</v>
      </c>
      <c r="D205" t="s">
        <v>20</v>
      </c>
      <c r="E205">
        <v>50</v>
      </c>
      <c r="F205">
        <v>137.75</v>
      </c>
      <c r="G205" t="s">
        <v>21</v>
      </c>
      <c r="H205" t="s">
        <v>437</v>
      </c>
      <c r="I205" t="s">
        <v>23</v>
      </c>
      <c r="J205" s="4" t="str">
        <f t="shared" si="3"/>
        <v>ULTRACEMCO</v>
      </c>
    </row>
    <row r="206" spans="1:10" x14ac:dyDescent="0.35">
      <c r="A206" s="1">
        <v>45915.398344907408</v>
      </c>
      <c r="B206" t="s">
        <v>431</v>
      </c>
      <c r="C206" t="s">
        <v>432</v>
      </c>
      <c r="D206" t="s">
        <v>20</v>
      </c>
      <c r="E206">
        <v>75</v>
      </c>
      <c r="F206">
        <v>45</v>
      </c>
      <c r="G206" t="s">
        <v>21</v>
      </c>
      <c r="H206" t="s">
        <v>438</v>
      </c>
      <c r="I206" t="s">
        <v>23</v>
      </c>
      <c r="J206" s="4" t="str">
        <f t="shared" si="3"/>
        <v>NIFTY</v>
      </c>
    </row>
    <row r="207" spans="1:10" x14ac:dyDescent="0.35">
      <c r="A207" s="1">
        <v>45915.410717592589</v>
      </c>
      <c r="B207" t="s">
        <v>439</v>
      </c>
      <c r="C207" t="s">
        <v>440</v>
      </c>
      <c r="D207" t="s">
        <v>26</v>
      </c>
      <c r="E207">
        <v>275</v>
      </c>
      <c r="F207">
        <v>39.75</v>
      </c>
      <c r="G207" t="s">
        <v>21</v>
      </c>
      <c r="H207" t="s">
        <v>441</v>
      </c>
      <c r="I207" t="s">
        <v>23</v>
      </c>
      <c r="J207" s="4" t="str">
        <f t="shared" si="3"/>
        <v>GODREJPROP</v>
      </c>
    </row>
    <row r="208" spans="1:10" x14ac:dyDescent="0.35">
      <c r="A208" s="1">
        <v>45915.425115740742</v>
      </c>
      <c r="B208" t="s">
        <v>442</v>
      </c>
      <c r="C208" t="s">
        <v>443</v>
      </c>
      <c r="D208" t="s">
        <v>26</v>
      </c>
      <c r="E208">
        <v>2850</v>
      </c>
      <c r="F208">
        <v>7.25</v>
      </c>
      <c r="G208" t="s">
        <v>21</v>
      </c>
      <c r="H208" t="s">
        <v>444</v>
      </c>
      <c r="I208" t="s">
        <v>23</v>
      </c>
      <c r="J208" s="4" t="str">
        <f t="shared" si="3"/>
        <v>BEL</v>
      </c>
    </row>
    <row r="209" spans="1:10" x14ac:dyDescent="0.35">
      <c r="A209" s="1">
        <v>45915.438009259262</v>
      </c>
      <c r="B209" t="s">
        <v>445</v>
      </c>
      <c r="C209" t="s">
        <v>446</v>
      </c>
      <c r="D209" t="s">
        <v>26</v>
      </c>
      <c r="E209">
        <v>125</v>
      </c>
      <c r="F209">
        <v>252.65</v>
      </c>
      <c r="G209" t="s">
        <v>21</v>
      </c>
      <c r="H209" t="s">
        <v>447</v>
      </c>
      <c r="I209" t="s">
        <v>23</v>
      </c>
      <c r="J209" s="4" t="str">
        <f t="shared" si="3"/>
        <v>MCX</v>
      </c>
    </row>
    <row r="210" spans="1:10" x14ac:dyDescent="0.35">
      <c r="A210" s="1">
        <v>45915.446967592594</v>
      </c>
      <c r="B210" t="s">
        <v>434</v>
      </c>
      <c r="C210" t="s">
        <v>435</v>
      </c>
      <c r="D210" t="s">
        <v>20</v>
      </c>
      <c r="E210">
        <v>6150</v>
      </c>
      <c r="F210">
        <v>1.7</v>
      </c>
      <c r="G210" t="s">
        <v>21</v>
      </c>
      <c r="H210" t="s">
        <v>448</v>
      </c>
      <c r="I210" t="s">
        <v>23</v>
      </c>
      <c r="J210" s="4" t="str">
        <f t="shared" si="3"/>
        <v>MOTHERSON</v>
      </c>
    </row>
    <row r="211" spans="1:10" x14ac:dyDescent="0.35">
      <c r="A211" s="1">
        <v>45915.448229166665</v>
      </c>
      <c r="B211" t="s">
        <v>442</v>
      </c>
      <c r="C211" t="s">
        <v>443</v>
      </c>
      <c r="D211" t="s">
        <v>20</v>
      </c>
      <c r="E211">
        <v>2850</v>
      </c>
      <c r="F211">
        <v>8.4</v>
      </c>
      <c r="G211" t="s">
        <v>21</v>
      </c>
      <c r="H211" t="s">
        <v>449</v>
      </c>
      <c r="I211" t="s">
        <v>23</v>
      </c>
      <c r="J211" s="4" t="str">
        <f t="shared" si="3"/>
        <v>BEL</v>
      </c>
    </row>
    <row r="212" spans="1:10" x14ac:dyDescent="0.35">
      <c r="A212" s="1">
        <v>45915.500104166669</v>
      </c>
      <c r="B212" t="s">
        <v>450</v>
      </c>
      <c r="C212" t="s">
        <v>451</v>
      </c>
      <c r="D212" t="s">
        <v>26</v>
      </c>
      <c r="E212">
        <v>2850</v>
      </c>
      <c r="F212">
        <v>10.5</v>
      </c>
      <c r="G212" t="s">
        <v>21</v>
      </c>
      <c r="H212" t="s">
        <v>452</v>
      </c>
      <c r="I212" t="s">
        <v>23</v>
      </c>
      <c r="J212" s="4" t="str">
        <f t="shared" si="3"/>
        <v>BEL</v>
      </c>
    </row>
    <row r="213" spans="1:10" x14ac:dyDescent="0.35">
      <c r="A213" s="1">
        <v>45915.565185185187</v>
      </c>
      <c r="B213" t="s">
        <v>439</v>
      </c>
      <c r="C213" t="s">
        <v>440</v>
      </c>
      <c r="D213" t="s">
        <v>20</v>
      </c>
      <c r="E213">
        <v>275</v>
      </c>
      <c r="F213">
        <v>59.3</v>
      </c>
      <c r="G213" t="s">
        <v>21</v>
      </c>
      <c r="H213" t="s">
        <v>453</v>
      </c>
      <c r="I213" t="s">
        <v>23</v>
      </c>
      <c r="J213" s="4" t="str">
        <f t="shared" si="3"/>
        <v>GODREJPROP</v>
      </c>
    </row>
    <row r="214" spans="1:10" x14ac:dyDescent="0.35">
      <c r="A214" s="1">
        <v>45915.63</v>
      </c>
      <c r="B214" t="s">
        <v>445</v>
      </c>
      <c r="C214" t="s">
        <v>446</v>
      </c>
      <c r="D214" t="s">
        <v>20</v>
      </c>
      <c r="E214">
        <v>125</v>
      </c>
      <c r="F214">
        <v>254.9</v>
      </c>
      <c r="G214" t="s">
        <v>21</v>
      </c>
      <c r="H214" t="s">
        <v>454</v>
      </c>
      <c r="I214" t="s">
        <v>23</v>
      </c>
      <c r="J214" s="4" t="str">
        <f t="shared" si="3"/>
        <v>MCX</v>
      </c>
    </row>
    <row r="215" spans="1:10" x14ac:dyDescent="0.35">
      <c r="A215" s="1">
        <v>45916.41609953704</v>
      </c>
      <c r="B215" t="s">
        <v>428</v>
      </c>
      <c r="C215" t="s">
        <v>429</v>
      </c>
      <c r="D215" t="s">
        <v>20</v>
      </c>
      <c r="E215">
        <v>75</v>
      </c>
      <c r="F215">
        <v>191.3</v>
      </c>
      <c r="G215" t="s">
        <v>21</v>
      </c>
      <c r="H215" t="s">
        <v>455</v>
      </c>
      <c r="I215" t="s">
        <v>23</v>
      </c>
      <c r="J215" s="4" t="str">
        <f t="shared" si="3"/>
        <v>NIFTY</v>
      </c>
    </row>
    <row r="216" spans="1:10" x14ac:dyDescent="0.35">
      <c r="A216" s="1">
        <v>45916.419386574074</v>
      </c>
      <c r="B216" t="s">
        <v>318</v>
      </c>
      <c r="C216" t="s">
        <v>319</v>
      </c>
      <c r="D216" t="s">
        <v>26</v>
      </c>
      <c r="E216">
        <v>75</v>
      </c>
      <c r="F216">
        <v>36.450000000000003</v>
      </c>
      <c r="G216" t="s">
        <v>21</v>
      </c>
      <c r="H216" t="s">
        <v>456</v>
      </c>
      <c r="I216" t="s">
        <v>23</v>
      </c>
      <c r="J216" s="4" t="str">
        <f t="shared" si="3"/>
        <v>NIFTY</v>
      </c>
    </row>
    <row r="217" spans="1:10" x14ac:dyDescent="0.35">
      <c r="A217" s="1">
        <v>45916.448449074072</v>
      </c>
      <c r="B217" t="s">
        <v>318</v>
      </c>
      <c r="C217" t="s">
        <v>319</v>
      </c>
      <c r="D217" t="s">
        <v>20</v>
      </c>
      <c r="E217">
        <v>75</v>
      </c>
      <c r="F217">
        <v>25.05</v>
      </c>
      <c r="G217" t="s">
        <v>21</v>
      </c>
      <c r="H217" t="s">
        <v>457</v>
      </c>
      <c r="I217" t="s">
        <v>23</v>
      </c>
      <c r="J217" s="4" t="str">
        <f t="shared" si="3"/>
        <v>NIFTY</v>
      </c>
    </row>
    <row r="218" spans="1:10" x14ac:dyDescent="0.35">
      <c r="A218" s="1">
        <v>45916.455127314817</v>
      </c>
      <c r="B218" t="s">
        <v>458</v>
      </c>
      <c r="C218" t="s">
        <v>459</v>
      </c>
      <c r="D218" t="s">
        <v>26</v>
      </c>
      <c r="E218">
        <v>75</v>
      </c>
      <c r="F218">
        <v>140.94999999999999</v>
      </c>
      <c r="G218" t="s">
        <v>21</v>
      </c>
      <c r="H218" t="s">
        <v>460</v>
      </c>
      <c r="I218" t="s">
        <v>23</v>
      </c>
      <c r="J218" s="4" t="str">
        <f t="shared" si="3"/>
        <v>NIFTY</v>
      </c>
    </row>
    <row r="219" spans="1:10" x14ac:dyDescent="0.35">
      <c r="A219" s="1">
        <v>45916.485578703701</v>
      </c>
      <c r="B219" t="s">
        <v>450</v>
      </c>
      <c r="C219" t="s">
        <v>451</v>
      </c>
      <c r="D219" t="s">
        <v>20</v>
      </c>
      <c r="E219">
        <v>2850</v>
      </c>
      <c r="F219">
        <v>11.1</v>
      </c>
      <c r="G219" t="s">
        <v>21</v>
      </c>
      <c r="H219" t="s">
        <v>461</v>
      </c>
      <c r="I219" t="s">
        <v>23</v>
      </c>
      <c r="J219" s="4" t="str">
        <f t="shared" si="3"/>
        <v>BEL</v>
      </c>
    </row>
    <row r="220" spans="1:10" x14ac:dyDescent="0.35">
      <c r="A220" s="1">
        <v>45916.498680555553</v>
      </c>
      <c r="B220" t="s">
        <v>458</v>
      </c>
      <c r="C220" t="s">
        <v>459</v>
      </c>
      <c r="D220" t="s">
        <v>20</v>
      </c>
      <c r="E220">
        <v>75</v>
      </c>
      <c r="F220">
        <v>145</v>
      </c>
      <c r="G220" t="s">
        <v>21</v>
      </c>
      <c r="H220" t="s">
        <v>462</v>
      </c>
      <c r="I220" t="s">
        <v>23</v>
      </c>
      <c r="J220" s="4" t="str">
        <f t="shared" si="3"/>
        <v>NIFTY</v>
      </c>
    </row>
    <row r="221" spans="1:10" x14ac:dyDescent="0.35">
      <c r="A221" s="1">
        <v>45916.519467592596</v>
      </c>
      <c r="B221" t="s">
        <v>424</v>
      </c>
      <c r="C221" t="s">
        <v>425</v>
      </c>
      <c r="D221" t="s">
        <v>20</v>
      </c>
      <c r="E221">
        <v>475</v>
      </c>
      <c r="F221">
        <v>30.85</v>
      </c>
      <c r="G221" t="s">
        <v>21</v>
      </c>
      <c r="H221" t="s">
        <v>463</v>
      </c>
      <c r="I221" t="s">
        <v>23</v>
      </c>
      <c r="J221" s="4" t="str">
        <f t="shared" si="3"/>
        <v>BHARTIARTL</v>
      </c>
    </row>
    <row r="222" spans="1:10" x14ac:dyDescent="0.35">
      <c r="A222" s="1">
        <v>45916.59951388889</v>
      </c>
      <c r="B222" t="s">
        <v>464</v>
      </c>
      <c r="C222" t="s">
        <v>465</v>
      </c>
      <c r="D222" t="s">
        <v>26</v>
      </c>
      <c r="E222">
        <v>75</v>
      </c>
      <c r="F222">
        <v>106.4</v>
      </c>
      <c r="G222" t="s">
        <v>21</v>
      </c>
      <c r="H222" t="s">
        <v>466</v>
      </c>
      <c r="I222" t="s">
        <v>23</v>
      </c>
      <c r="J222" s="4" t="str">
        <f t="shared" si="3"/>
        <v>NIFTY</v>
      </c>
    </row>
    <row r="223" spans="1:10" x14ac:dyDescent="0.35">
      <c r="A223" s="1">
        <v>45916.633935185186</v>
      </c>
      <c r="B223" t="s">
        <v>464</v>
      </c>
      <c r="C223" t="s">
        <v>465</v>
      </c>
      <c r="D223" t="s">
        <v>20</v>
      </c>
      <c r="E223">
        <v>75</v>
      </c>
      <c r="F223">
        <v>119.75</v>
      </c>
      <c r="G223" t="s">
        <v>21</v>
      </c>
      <c r="H223" t="s">
        <v>467</v>
      </c>
      <c r="I223" t="s">
        <v>23</v>
      </c>
      <c r="J223" s="4" t="str">
        <f t="shared" si="3"/>
        <v>NIFTY</v>
      </c>
    </row>
    <row r="224" spans="1:10" x14ac:dyDescent="0.35">
      <c r="A224" s="1">
        <v>45916.63590277778</v>
      </c>
      <c r="B224" t="s">
        <v>414</v>
      </c>
      <c r="C224" t="s">
        <v>415</v>
      </c>
      <c r="D224" t="s">
        <v>20</v>
      </c>
      <c r="E224">
        <v>150</v>
      </c>
      <c r="F224">
        <v>5739.5</v>
      </c>
      <c r="G224" t="s">
        <v>21</v>
      </c>
      <c r="H224" t="s">
        <v>468</v>
      </c>
      <c r="I224" t="s">
        <v>23</v>
      </c>
      <c r="J224" s="4" t="str">
        <f t="shared" si="3"/>
        <v>INDIGO</v>
      </c>
    </row>
    <row r="225" spans="1:10" x14ac:dyDescent="0.35">
      <c r="A225" s="1">
        <v>45917.389768518522</v>
      </c>
      <c r="B225" t="s">
        <v>469</v>
      </c>
      <c r="C225" t="s">
        <v>470</v>
      </c>
      <c r="D225" t="s">
        <v>26</v>
      </c>
      <c r="E225">
        <v>140</v>
      </c>
      <c r="F225">
        <v>210.95</v>
      </c>
      <c r="G225" t="s">
        <v>21</v>
      </c>
      <c r="H225" t="s">
        <v>471</v>
      </c>
      <c r="I225" t="s">
        <v>23</v>
      </c>
      <c r="J225" s="4" t="str">
        <f t="shared" si="3"/>
        <v>MIDCPNIFTY</v>
      </c>
    </row>
    <row r="226" spans="1:10" x14ac:dyDescent="0.35">
      <c r="A226" s="1">
        <v>45917.392141203702</v>
      </c>
      <c r="B226" t="s">
        <v>472</v>
      </c>
      <c r="C226" t="s">
        <v>473</v>
      </c>
      <c r="D226" t="s">
        <v>26</v>
      </c>
      <c r="E226">
        <v>25</v>
      </c>
      <c r="F226">
        <v>707.1</v>
      </c>
      <c r="G226" t="s">
        <v>21</v>
      </c>
      <c r="H226" t="s">
        <v>474</v>
      </c>
      <c r="I226" t="s">
        <v>23</v>
      </c>
      <c r="J226" s="4" t="str">
        <f t="shared" si="3"/>
        <v>BOSCHLTD</v>
      </c>
    </row>
    <row r="227" spans="1:10" x14ac:dyDescent="0.35">
      <c r="A227" s="1">
        <v>45917.393206018518</v>
      </c>
      <c r="B227" t="s">
        <v>475</v>
      </c>
      <c r="C227" t="s">
        <v>476</v>
      </c>
      <c r="D227" t="s">
        <v>26</v>
      </c>
      <c r="E227">
        <v>100</v>
      </c>
      <c r="F227">
        <v>267.10000000000002</v>
      </c>
      <c r="G227" t="s">
        <v>21</v>
      </c>
      <c r="H227" t="s">
        <v>477</v>
      </c>
      <c r="I227" t="s">
        <v>23</v>
      </c>
      <c r="J227" s="4" t="str">
        <f t="shared" si="3"/>
        <v>AMBER</v>
      </c>
    </row>
    <row r="228" spans="1:10" x14ac:dyDescent="0.35">
      <c r="A228" s="1">
        <v>45917.41609953704</v>
      </c>
      <c r="B228" t="s">
        <v>478</v>
      </c>
      <c r="C228" t="s">
        <v>479</v>
      </c>
      <c r="D228" t="s">
        <v>26</v>
      </c>
      <c r="E228">
        <v>825</v>
      </c>
      <c r="F228">
        <v>20.350000000000001</v>
      </c>
      <c r="G228" t="s">
        <v>21</v>
      </c>
      <c r="H228" t="s">
        <v>480</v>
      </c>
      <c r="I228" t="s">
        <v>23</v>
      </c>
      <c r="J228" s="4" t="str">
        <f t="shared" si="3"/>
        <v>DLF</v>
      </c>
    </row>
    <row r="229" spans="1:10" x14ac:dyDescent="0.35">
      <c r="A229" s="1">
        <v>45917.431076388886</v>
      </c>
      <c r="B229" t="s">
        <v>481</v>
      </c>
      <c r="C229" t="s">
        <v>482</v>
      </c>
      <c r="D229" t="s">
        <v>26</v>
      </c>
      <c r="E229">
        <v>75</v>
      </c>
      <c r="F229">
        <v>48.2</v>
      </c>
      <c r="G229" t="s">
        <v>21</v>
      </c>
      <c r="H229" t="s">
        <v>483</v>
      </c>
      <c r="I229" t="s">
        <v>23</v>
      </c>
      <c r="J229" s="4" t="str">
        <f t="shared" si="3"/>
        <v>NIFTY</v>
      </c>
    </row>
    <row r="230" spans="1:10" x14ac:dyDescent="0.35">
      <c r="A230" s="1">
        <v>45917.451620370368</v>
      </c>
      <c r="B230" t="s">
        <v>484</v>
      </c>
      <c r="C230" t="s">
        <v>485</v>
      </c>
      <c r="D230" t="s">
        <v>26</v>
      </c>
      <c r="E230">
        <v>2850</v>
      </c>
      <c r="F230">
        <v>9</v>
      </c>
      <c r="G230" t="s">
        <v>21</v>
      </c>
      <c r="H230" t="s">
        <v>486</v>
      </c>
      <c r="I230" t="s">
        <v>23</v>
      </c>
      <c r="J230" s="4" t="str">
        <f t="shared" si="3"/>
        <v>BEL</v>
      </c>
    </row>
    <row r="231" spans="1:10" x14ac:dyDescent="0.35">
      <c r="A231" s="1">
        <v>45917.456064814818</v>
      </c>
      <c r="B231" t="s">
        <v>487</v>
      </c>
      <c r="C231" t="s">
        <v>488</v>
      </c>
      <c r="D231" t="s">
        <v>26</v>
      </c>
      <c r="E231">
        <v>475</v>
      </c>
      <c r="F231">
        <v>1946</v>
      </c>
      <c r="G231" t="s">
        <v>21</v>
      </c>
      <c r="H231" t="s">
        <v>489</v>
      </c>
      <c r="I231" t="s">
        <v>23</v>
      </c>
      <c r="J231" s="4" t="str">
        <f t="shared" si="3"/>
        <v>BHARTIARTL</v>
      </c>
    </row>
    <row r="232" spans="1:10" x14ac:dyDescent="0.35">
      <c r="A232" s="1">
        <v>45917.603113425925</v>
      </c>
      <c r="B232" t="s">
        <v>487</v>
      </c>
      <c r="C232" t="s">
        <v>488</v>
      </c>
      <c r="D232" t="s">
        <v>20</v>
      </c>
      <c r="E232">
        <v>475</v>
      </c>
      <c r="F232">
        <v>1946.8</v>
      </c>
      <c r="G232" t="s">
        <v>21</v>
      </c>
      <c r="H232" t="s">
        <v>490</v>
      </c>
      <c r="I232" t="s">
        <v>23</v>
      </c>
      <c r="J232" s="4" t="str">
        <f t="shared" si="3"/>
        <v>BHARTIARTL</v>
      </c>
    </row>
    <row r="233" spans="1:10" x14ac:dyDescent="0.35">
      <c r="A233" s="1">
        <v>45917.629479166666</v>
      </c>
      <c r="B233" t="s">
        <v>491</v>
      </c>
      <c r="C233" t="s">
        <v>492</v>
      </c>
      <c r="D233" t="s">
        <v>26</v>
      </c>
      <c r="E233">
        <v>400</v>
      </c>
      <c r="F233">
        <v>1523.2</v>
      </c>
      <c r="G233" t="s">
        <v>21</v>
      </c>
      <c r="H233" t="s">
        <v>493</v>
      </c>
      <c r="I233" t="s">
        <v>23</v>
      </c>
      <c r="J233" s="4" t="str">
        <f t="shared" si="3"/>
        <v>INFY</v>
      </c>
    </row>
    <row r="234" spans="1:10" x14ac:dyDescent="0.35">
      <c r="A234" s="1">
        <v>45917.636192129627</v>
      </c>
      <c r="B234" t="s">
        <v>481</v>
      </c>
      <c r="C234" t="s">
        <v>482</v>
      </c>
      <c r="D234" t="s">
        <v>20</v>
      </c>
      <c r="E234">
        <v>75</v>
      </c>
      <c r="F234">
        <v>56.65</v>
      </c>
      <c r="G234" t="s">
        <v>21</v>
      </c>
      <c r="H234" t="s">
        <v>494</v>
      </c>
      <c r="I234" t="s">
        <v>23</v>
      </c>
      <c r="J234" s="4" t="str">
        <f t="shared" si="3"/>
        <v>NIFTY</v>
      </c>
    </row>
    <row r="235" spans="1:10" x14ac:dyDescent="0.35">
      <c r="A235" s="1">
        <v>45917.645312499997</v>
      </c>
      <c r="B235" t="s">
        <v>495</v>
      </c>
      <c r="C235" t="s">
        <v>496</v>
      </c>
      <c r="D235" t="s">
        <v>26</v>
      </c>
      <c r="E235">
        <v>825</v>
      </c>
      <c r="F235">
        <v>11.75</v>
      </c>
      <c r="G235" t="s">
        <v>21</v>
      </c>
      <c r="H235" t="s">
        <v>497</v>
      </c>
      <c r="I235" t="s">
        <v>23</v>
      </c>
      <c r="J235" s="4" t="str">
        <f t="shared" si="3"/>
        <v>SHRIRAMFIN</v>
      </c>
    </row>
    <row r="236" spans="1:10" x14ac:dyDescent="0.35">
      <c r="A236" s="1">
        <v>45918.393553240741</v>
      </c>
      <c r="B236" t="s">
        <v>498</v>
      </c>
      <c r="C236" t="s">
        <v>499</v>
      </c>
      <c r="D236" t="s">
        <v>26</v>
      </c>
      <c r="E236">
        <v>1100</v>
      </c>
      <c r="F236">
        <v>11.5</v>
      </c>
      <c r="G236" t="s">
        <v>21</v>
      </c>
      <c r="H236" t="s">
        <v>500</v>
      </c>
      <c r="I236" t="s">
        <v>23</v>
      </c>
      <c r="J236" s="4" t="str">
        <f t="shared" si="3"/>
        <v>HDFCBANK</v>
      </c>
    </row>
    <row r="237" spans="1:10" x14ac:dyDescent="0.35">
      <c r="A237" s="1">
        <v>45918.478796296295</v>
      </c>
      <c r="B237" t="s">
        <v>478</v>
      </c>
      <c r="C237" t="s">
        <v>479</v>
      </c>
      <c r="D237" t="s">
        <v>20</v>
      </c>
      <c r="E237">
        <v>825</v>
      </c>
      <c r="F237">
        <v>20.65</v>
      </c>
      <c r="G237" t="s">
        <v>21</v>
      </c>
      <c r="H237" t="s">
        <v>501</v>
      </c>
      <c r="I237" t="s">
        <v>23</v>
      </c>
      <c r="J237" s="4" t="str">
        <f t="shared" si="3"/>
        <v>DLF</v>
      </c>
    </row>
    <row r="238" spans="1:10" x14ac:dyDescent="0.35">
      <c r="A238" s="1">
        <v>45918.485578703701</v>
      </c>
      <c r="B238" t="s">
        <v>407</v>
      </c>
      <c r="C238" t="s">
        <v>408</v>
      </c>
      <c r="D238" t="s">
        <v>20</v>
      </c>
      <c r="E238">
        <v>2425</v>
      </c>
      <c r="F238">
        <v>8.5500000000000007</v>
      </c>
      <c r="G238" t="s">
        <v>21</v>
      </c>
      <c r="H238" t="s">
        <v>502</v>
      </c>
      <c r="I238" t="s">
        <v>23</v>
      </c>
      <c r="J238" s="4" t="str">
        <f t="shared" si="3"/>
        <v>ETERNAL</v>
      </c>
    </row>
    <row r="239" spans="1:10" x14ac:dyDescent="0.35">
      <c r="A239" s="1">
        <v>45918.517650462964</v>
      </c>
      <c r="B239" t="s">
        <v>503</v>
      </c>
      <c r="C239" t="s">
        <v>504</v>
      </c>
      <c r="D239" t="s">
        <v>26</v>
      </c>
      <c r="E239">
        <v>1355</v>
      </c>
      <c r="F239">
        <v>14.5</v>
      </c>
      <c r="G239" t="s">
        <v>21</v>
      </c>
      <c r="H239" t="s">
        <v>505</v>
      </c>
      <c r="I239" t="s">
        <v>23</v>
      </c>
      <c r="J239" s="4" t="str">
        <f t="shared" si="3"/>
        <v>UPL</v>
      </c>
    </row>
    <row r="240" spans="1:10" x14ac:dyDescent="0.35">
      <c r="A240" s="1">
        <v>45918.528217592589</v>
      </c>
      <c r="B240" t="s">
        <v>506</v>
      </c>
      <c r="C240" t="s">
        <v>507</v>
      </c>
      <c r="D240" t="s">
        <v>26</v>
      </c>
      <c r="E240">
        <v>75</v>
      </c>
      <c r="F240">
        <v>150</v>
      </c>
      <c r="G240" t="s">
        <v>21</v>
      </c>
      <c r="H240" t="s">
        <v>508</v>
      </c>
      <c r="I240" t="s">
        <v>23</v>
      </c>
      <c r="J240" s="4" t="str">
        <f t="shared" si="3"/>
        <v>NIFTY</v>
      </c>
    </row>
    <row r="241" spans="1:10" x14ac:dyDescent="0.35">
      <c r="A241" s="1">
        <v>45918.545289351852</v>
      </c>
      <c r="B241" t="s">
        <v>509</v>
      </c>
      <c r="C241" t="s">
        <v>510</v>
      </c>
      <c r="D241" t="s">
        <v>26</v>
      </c>
      <c r="E241">
        <v>75</v>
      </c>
      <c r="F241">
        <v>117.25</v>
      </c>
      <c r="G241" t="s">
        <v>21</v>
      </c>
      <c r="H241" t="s">
        <v>511</v>
      </c>
      <c r="I241" t="s">
        <v>23</v>
      </c>
      <c r="J241" s="4" t="str">
        <f t="shared" si="3"/>
        <v>NIFTY</v>
      </c>
    </row>
    <row r="242" spans="1:10" x14ac:dyDescent="0.35">
      <c r="A242" s="1">
        <v>45918.548587962963</v>
      </c>
      <c r="B242" t="s">
        <v>512</v>
      </c>
      <c r="C242" t="s">
        <v>513</v>
      </c>
      <c r="D242" t="s">
        <v>26</v>
      </c>
      <c r="E242">
        <v>35</v>
      </c>
      <c r="F242">
        <v>460.75</v>
      </c>
      <c r="G242" t="s">
        <v>21</v>
      </c>
      <c r="H242" t="s">
        <v>514</v>
      </c>
      <c r="I242" t="s">
        <v>23</v>
      </c>
      <c r="J242" s="4" t="str">
        <f t="shared" si="3"/>
        <v>BANKNIFTY</v>
      </c>
    </row>
    <row r="243" spans="1:10" x14ac:dyDescent="0.35">
      <c r="A243" s="1">
        <v>45918.591805555552</v>
      </c>
      <c r="B243" t="s">
        <v>515</v>
      </c>
      <c r="C243" t="s">
        <v>516</v>
      </c>
      <c r="D243" t="s">
        <v>26</v>
      </c>
      <c r="E243">
        <v>150</v>
      </c>
      <c r="F243">
        <v>119.3</v>
      </c>
      <c r="G243" t="s">
        <v>21</v>
      </c>
      <c r="H243" t="s">
        <v>517</v>
      </c>
      <c r="I243" t="s">
        <v>23</v>
      </c>
      <c r="J243" s="4" t="str">
        <f t="shared" si="3"/>
        <v>LTIM</v>
      </c>
    </row>
    <row r="244" spans="1:10" x14ac:dyDescent="0.35">
      <c r="A244" s="1">
        <v>45918.630046296297</v>
      </c>
      <c r="B244" t="s">
        <v>512</v>
      </c>
      <c r="C244" t="s">
        <v>513</v>
      </c>
      <c r="D244" t="s">
        <v>20</v>
      </c>
      <c r="E244">
        <v>35</v>
      </c>
      <c r="F244">
        <v>529.95000000000005</v>
      </c>
      <c r="G244" t="s">
        <v>21</v>
      </c>
      <c r="H244" t="s">
        <v>518</v>
      </c>
      <c r="I244" t="s">
        <v>23</v>
      </c>
      <c r="J244" s="4" t="str">
        <f t="shared" si="3"/>
        <v>BANKNIFTY</v>
      </c>
    </row>
    <row r="245" spans="1:10" x14ac:dyDescent="0.35">
      <c r="A245" s="1">
        <v>45918.631296296298</v>
      </c>
      <c r="B245" t="s">
        <v>509</v>
      </c>
      <c r="C245" t="s">
        <v>510</v>
      </c>
      <c r="D245" t="s">
        <v>20</v>
      </c>
      <c r="E245">
        <v>75</v>
      </c>
      <c r="F245">
        <v>159.30000000000001</v>
      </c>
      <c r="G245" t="s">
        <v>21</v>
      </c>
      <c r="H245" t="s">
        <v>519</v>
      </c>
      <c r="I245" t="s">
        <v>23</v>
      </c>
      <c r="J245" s="4" t="str">
        <f t="shared" si="3"/>
        <v>NIFTY</v>
      </c>
    </row>
    <row r="246" spans="1:10" x14ac:dyDescent="0.35">
      <c r="A246" s="1">
        <v>45918.641840277778</v>
      </c>
      <c r="B246" t="s">
        <v>469</v>
      </c>
      <c r="C246" t="s">
        <v>470</v>
      </c>
      <c r="D246" t="s">
        <v>20</v>
      </c>
      <c r="E246">
        <v>140</v>
      </c>
      <c r="F246">
        <v>234.45</v>
      </c>
      <c r="G246" t="s">
        <v>21</v>
      </c>
      <c r="H246" t="s">
        <v>520</v>
      </c>
      <c r="I246" t="s">
        <v>23</v>
      </c>
      <c r="J246" s="4" t="str">
        <f t="shared" si="3"/>
        <v>MIDCPNIFTY</v>
      </c>
    </row>
    <row r="247" spans="1:10" x14ac:dyDescent="0.35">
      <c r="A247" s="1">
        <v>45918.642916666664</v>
      </c>
      <c r="B247" t="s">
        <v>521</v>
      </c>
      <c r="C247" t="s">
        <v>522</v>
      </c>
      <c r="D247" t="s">
        <v>26</v>
      </c>
      <c r="E247">
        <v>140</v>
      </c>
      <c r="F247">
        <v>116.65</v>
      </c>
      <c r="G247" t="s">
        <v>21</v>
      </c>
      <c r="H247" t="s">
        <v>523</v>
      </c>
      <c r="I247" t="s">
        <v>23</v>
      </c>
      <c r="J247" s="4" t="str">
        <f t="shared" si="3"/>
        <v>MIDCPNIFTY</v>
      </c>
    </row>
    <row r="248" spans="1:10" x14ac:dyDescent="0.35">
      <c r="A248" s="1">
        <v>45918.645752314813</v>
      </c>
      <c r="B248" t="s">
        <v>491</v>
      </c>
      <c r="C248" t="s">
        <v>492</v>
      </c>
      <c r="D248" t="s">
        <v>20</v>
      </c>
      <c r="E248">
        <v>400</v>
      </c>
      <c r="F248">
        <v>1544</v>
      </c>
      <c r="G248" t="s">
        <v>21</v>
      </c>
      <c r="H248" t="s">
        <v>524</v>
      </c>
      <c r="I248" t="s">
        <v>23</v>
      </c>
      <c r="J248" s="4" t="str">
        <f t="shared" si="3"/>
        <v>INFY</v>
      </c>
    </row>
    <row r="249" spans="1:10" x14ac:dyDescent="0.35">
      <c r="A249" s="1">
        <v>45919.38690972222</v>
      </c>
      <c r="B249" t="s">
        <v>525</v>
      </c>
      <c r="C249" t="s">
        <v>526</v>
      </c>
      <c r="D249" t="s">
        <v>26</v>
      </c>
      <c r="E249">
        <v>375</v>
      </c>
      <c r="F249">
        <v>41.9</v>
      </c>
      <c r="G249" t="s">
        <v>21</v>
      </c>
      <c r="H249" t="s">
        <v>527</v>
      </c>
      <c r="I249" t="s">
        <v>23</v>
      </c>
      <c r="J249" s="4" t="str">
        <f t="shared" si="3"/>
        <v>GLENMARK</v>
      </c>
    </row>
    <row r="250" spans="1:10" x14ac:dyDescent="0.35">
      <c r="A250" s="1">
        <v>45919.390520833331</v>
      </c>
      <c r="B250" t="s">
        <v>431</v>
      </c>
      <c r="C250" t="s">
        <v>432</v>
      </c>
      <c r="D250" t="s">
        <v>26</v>
      </c>
      <c r="E250">
        <v>75</v>
      </c>
      <c r="F250">
        <v>66.45</v>
      </c>
      <c r="G250" t="s">
        <v>21</v>
      </c>
      <c r="H250" t="s">
        <v>528</v>
      </c>
      <c r="I250" t="s">
        <v>23</v>
      </c>
      <c r="J250" s="4" t="str">
        <f t="shared" si="3"/>
        <v>NIFTY</v>
      </c>
    </row>
    <row r="251" spans="1:10" x14ac:dyDescent="0.35">
      <c r="A251" s="1">
        <v>45919.40320601852</v>
      </c>
      <c r="B251" t="s">
        <v>529</v>
      </c>
      <c r="C251" t="s">
        <v>530</v>
      </c>
      <c r="D251" t="s">
        <v>26</v>
      </c>
      <c r="E251">
        <v>2500</v>
      </c>
      <c r="F251">
        <v>7.25</v>
      </c>
      <c r="G251" t="s">
        <v>21</v>
      </c>
      <c r="H251" t="s">
        <v>531</v>
      </c>
      <c r="I251" t="s">
        <v>23</v>
      </c>
      <c r="J251" s="4" t="str">
        <f t="shared" si="3"/>
        <v>BIOCON</v>
      </c>
    </row>
    <row r="252" spans="1:10" x14ac:dyDescent="0.35">
      <c r="A252" s="1">
        <v>45919.419490740744</v>
      </c>
      <c r="B252" t="s">
        <v>532</v>
      </c>
      <c r="C252" t="s">
        <v>533</v>
      </c>
      <c r="D252" t="s">
        <v>26</v>
      </c>
      <c r="E252">
        <v>75</v>
      </c>
      <c r="F252">
        <v>129.4</v>
      </c>
      <c r="G252" t="s">
        <v>21</v>
      </c>
      <c r="H252" t="s">
        <v>534</v>
      </c>
      <c r="I252" t="s">
        <v>23</v>
      </c>
      <c r="J252" s="4" t="str">
        <f t="shared" si="3"/>
        <v>NIFTY</v>
      </c>
    </row>
    <row r="253" spans="1:10" x14ac:dyDescent="0.35">
      <c r="A253" s="1">
        <v>45919.463472222225</v>
      </c>
      <c r="B253" t="s">
        <v>381</v>
      </c>
      <c r="C253" t="s">
        <v>382</v>
      </c>
      <c r="D253" t="s">
        <v>20</v>
      </c>
      <c r="E253">
        <v>4300</v>
      </c>
      <c r="F253">
        <v>9.5</v>
      </c>
      <c r="G253" t="s">
        <v>21</v>
      </c>
      <c r="H253" t="s">
        <v>535</v>
      </c>
      <c r="I253" t="s">
        <v>23</v>
      </c>
      <c r="J253" s="4" t="str">
        <f t="shared" si="3"/>
        <v>SAMMAANCAP</v>
      </c>
    </row>
    <row r="254" spans="1:10" x14ac:dyDescent="0.35">
      <c r="A254" s="1">
        <v>45919.552314814813</v>
      </c>
      <c r="B254" t="s">
        <v>532</v>
      </c>
      <c r="C254" t="s">
        <v>533</v>
      </c>
      <c r="D254" t="s">
        <v>20</v>
      </c>
      <c r="E254">
        <v>75</v>
      </c>
      <c r="F254">
        <v>143.75</v>
      </c>
      <c r="G254" t="s">
        <v>21</v>
      </c>
      <c r="H254" t="s">
        <v>536</v>
      </c>
      <c r="I254" t="s">
        <v>23</v>
      </c>
      <c r="J254" s="4" t="str">
        <f t="shared" si="3"/>
        <v>NIFTY</v>
      </c>
    </row>
    <row r="255" spans="1:10" x14ac:dyDescent="0.35">
      <c r="A255" s="1">
        <v>45919.56013888889</v>
      </c>
      <c r="B255" t="s">
        <v>404</v>
      </c>
      <c r="C255" t="s">
        <v>405</v>
      </c>
      <c r="D255" t="s">
        <v>20</v>
      </c>
      <c r="E255">
        <v>475</v>
      </c>
      <c r="F255">
        <v>41.25</v>
      </c>
      <c r="G255" t="s">
        <v>21</v>
      </c>
      <c r="H255" t="s">
        <v>537</v>
      </c>
      <c r="I255" t="s">
        <v>23</v>
      </c>
      <c r="J255" s="4" t="str">
        <f t="shared" si="3"/>
        <v>ADANIPORTS</v>
      </c>
    </row>
    <row r="256" spans="1:10" x14ac:dyDescent="0.35">
      <c r="A256" s="1">
        <v>45919.567777777775</v>
      </c>
      <c r="B256" t="s">
        <v>538</v>
      </c>
      <c r="C256" t="s">
        <v>539</v>
      </c>
      <c r="D256" t="s">
        <v>26</v>
      </c>
      <c r="E256">
        <v>75</v>
      </c>
      <c r="F256">
        <v>48.45</v>
      </c>
      <c r="G256" t="s">
        <v>21</v>
      </c>
      <c r="H256" t="s">
        <v>540</v>
      </c>
      <c r="I256" t="s">
        <v>23</v>
      </c>
      <c r="J256" s="4" t="str">
        <f t="shared" si="3"/>
        <v>NIFTY</v>
      </c>
    </row>
    <row r="257" spans="1:10" x14ac:dyDescent="0.35">
      <c r="A257" s="1">
        <v>45919.584039351852</v>
      </c>
      <c r="B257" t="s">
        <v>538</v>
      </c>
      <c r="C257" t="s">
        <v>539</v>
      </c>
      <c r="D257" t="s">
        <v>20</v>
      </c>
      <c r="E257">
        <v>75</v>
      </c>
      <c r="F257">
        <v>37.799999999999997</v>
      </c>
      <c r="G257" t="s">
        <v>21</v>
      </c>
      <c r="H257" t="s">
        <v>541</v>
      </c>
      <c r="I257" t="s">
        <v>23</v>
      </c>
      <c r="J257" s="4" t="str">
        <f t="shared" si="3"/>
        <v>NIFTY</v>
      </c>
    </row>
    <row r="258" spans="1:10" x14ac:dyDescent="0.35">
      <c r="A258" s="1">
        <v>45919.591226851851</v>
      </c>
      <c r="B258" t="s">
        <v>542</v>
      </c>
      <c r="C258" t="s">
        <v>543</v>
      </c>
      <c r="D258" t="s">
        <v>26</v>
      </c>
      <c r="E258">
        <v>475</v>
      </c>
      <c r="F258">
        <v>27.65</v>
      </c>
      <c r="G258" t="s">
        <v>21</v>
      </c>
      <c r="H258" t="s">
        <v>544</v>
      </c>
      <c r="I258" t="s">
        <v>23</v>
      </c>
      <c r="J258" s="4" t="str">
        <f t="shared" si="3"/>
        <v>ADANIPORTS</v>
      </c>
    </row>
    <row r="259" spans="1:10" x14ac:dyDescent="0.35">
      <c r="A259" s="1">
        <v>45919.637939814813</v>
      </c>
      <c r="B259" t="s">
        <v>495</v>
      </c>
      <c r="C259" t="s">
        <v>496</v>
      </c>
      <c r="D259" t="s">
        <v>20</v>
      </c>
      <c r="E259">
        <v>825</v>
      </c>
      <c r="F259">
        <v>13</v>
      </c>
      <c r="G259" t="s">
        <v>21</v>
      </c>
      <c r="H259" t="s">
        <v>545</v>
      </c>
      <c r="I259" t="s">
        <v>23</v>
      </c>
      <c r="J259" s="4" t="str">
        <f t="shared" si="3"/>
        <v>SHRIRAMFIN</v>
      </c>
    </row>
    <row r="260" spans="1:10" x14ac:dyDescent="0.35">
      <c r="A260" s="1">
        <v>45922.394837962966</v>
      </c>
      <c r="B260" t="s">
        <v>546</v>
      </c>
      <c r="C260" t="s">
        <v>547</v>
      </c>
      <c r="D260" t="s">
        <v>26</v>
      </c>
      <c r="E260">
        <v>100</v>
      </c>
      <c r="F260">
        <v>124</v>
      </c>
      <c r="G260" t="s">
        <v>21</v>
      </c>
      <c r="H260" t="s">
        <v>548</v>
      </c>
      <c r="I260" t="s">
        <v>23</v>
      </c>
      <c r="J260" s="4" t="str">
        <f t="shared" si="3"/>
        <v>PERSISTENT</v>
      </c>
    </row>
    <row r="261" spans="1:10" x14ac:dyDescent="0.35">
      <c r="A261" s="1">
        <v>45922.488692129627</v>
      </c>
      <c r="B261" t="s">
        <v>549</v>
      </c>
      <c r="C261" t="s">
        <v>550</v>
      </c>
      <c r="D261" t="s">
        <v>26</v>
      </c>
      <c r="E261">
        <v>400</v>
      </c>
      <c r="F261">
        <v>27.3</v>
      </c>
      <c r="G261" t="s">
        <v>21</v>
      </c>
      <c r="H261" t="s">
        <v>551</v>
      </c>
      <c r="I261" t="s">
        <v>23</v>
      </c>
      <c r="J261" s="4" t="str">
        <f t="shared" si="3"/>
        <v>KOTAKBANK</v>
      </c>
    </row>
    <row r="262" spans="1:10" x14ac:dyDescent="0.35">
      <c r="A262" s="1">
        <v>45922.611840277779</v>
      </c>
      <c r="B262" t="s">
        <v>542</v>
      </c>
      <c r="C262" t="s">
        <v>543</v>
      </c>
      <c r="D262" t="s">
        <v>20</v>
      </c>
      <c r="E262">
        <v>475</v>
      </c>
      <c r="F262">
        <v>30.15</v>
      </c>
      <c r="G262" t="s">
        <v>21</v>
      </c>
      <c r="H262" t="s">
        <v>552</v>
      </c>
      <c r="I262" t="s">
        <v>23</v>
      </c>
      <c r="J262" s="4" t="str">
        <f t="shared" si="3"/>
        <v>ADANIPORTS</v>
      </c>
    </row>
    <row r="263" spans="1:10" x14ac:dyDescent="0.35">
      <c r="A263" s="1">
        <v>45922.617719907408</v>
      </c>
      <c r="B263" t="s">
        <v>553</v>
      </c>
      <c r="C263" t="s">
        <v>554</v>
      </c>
      <c r="D263" t="s">
        <v>26</v>
      </c>
      <c r="E263">
        <v>500</v>
      </c>
      <c r="F263">
        <v>11.8</v>
      </c>
      <c r="G263" t="s">
        <v>21</v>
      </c>
      <c r="H263" t="s">
        <v>555</v>
      </c>
      <c r="I263" t="s">
        <v>23</v>
      </c>
      <c r="J263" s="4" t="str">
        <f t="shared" si="3"/>
        <v>RELIANCE</v>
      </c>
    </row>
    <row r="264" spans="1:10" x14ac:dyDescent="0.35">
      <c r="A264" s="1">
        <v>45922.627106481479</v>
      </c>
      <c r="B264" t="s">
        <v>556</v>
      </c>
      <c r="C264" t="s">
        <v>557</v>
      </c>
      <c r="D264" t="s">
        <v>26</v>
      </c>
      <c r="E264">
        <v>850</v>
      </c>
      <c r="F264">
        <v>14.45</v>
      </c>
      <c r="G264" t="s">
        <v>21</v>
      </c>
      <c r="H264" t="s">
        <v>558</v>
      </c>
      <c r="I264" t="s">
        <v>23</v>
      </c>
      <c r="J264" s="4" t="str">
        <f t="shared" si="3"/>
        <v>CGPOWER</v>
      </c>
    </row>
    <row r="265" spans="1:10" x14ac:dyDescent="0.35">
      <c r="A265" s="1">
        <v>45922.643495370372</v>
      </c>
      <c r="B265" t="s">
        <v>559</v>
      </c>
      <c r="C265" t="s">
        <v>560</v>
      </c>
      <c r="D265" t="s">
        <v>26</v>
      </c>
      <c r="E265">
        <v>75</v>
      </c>
      <c r="F265">
        <v>107.25</v>
      </c>
      <c r="G265" t="s">
        <v>21</v>
      </c>
      <c r="H265" t="s">
        <v>561</v>
      </c>
      <c r="I265" t="s">
        <v>23</v>
      </c>
      <c r="J265" s="4" t="str">
        <f t="shared" ref="J265:J328" si="4">LEFT(B265,FIND(" ",B265)-1)</f>
        <v>NIFTY</v>
      </c>
    </row>
    <row r="266" spans="1:10" x14ac:dyDescent="0.35">
      <c r="A266" s="1">
        <v>45923.385775462964</v>
      </c>
      <c r="B266" t="s">
        <v>549</v>
      </c>
      <c r="C266" t="s">
        <v>550</v>
      </c>
      <c r="D266" t="s">
        <v>20</v>
      </c>
      <c r="E266">
        <v>400</v>
      </c>
      <c r="F266">
        <v>17.2</v>
      </c>
      <c r="G266" t="s">
        <v>21</v>
      </c>
      <c r="H266" t="s">
        <v>562</v>
      </c>
      <c r="I266" t="s">
        <v>23</v>
      </c>
      <c r="J266" s="4" t="str">
        <f t="shared" si="4"/>
        <v>KOTAKBANK</v>
      </c>
    </row>
    <row r="267" spans="1:10" x14ac:dyDescent="0.35">
      <c r="A267" s="1">
        <v>45923.395046296297</v>
      </c>
      <c r="B267" t="s">
        <v>559</v>
      </c>
      <c r="C267" t="s">
        <v>560</v>
      </c>
      <c r="D267" t="s">
        <v>20</v>
      </c>
      <c r="E267">
        <v>75</v>
      </c>
      <c r="F267">
        <v>72.2</v>
      </c>
      <c r="G267" t="s">
        <v>21</v>
      </c>
      <c r="H267" t="s">
        <v>563</v>
      </c>
      <c r="I267" t="s">
        <v>23</v>
      </c>
      <c r="J267" s="4" t="str">
        <f t="shared" si="4"/>
        <v>NIFTY</v>
      </c>
    </row>
    <row r="268" spans="1:10" x14ac:dyDescent="0.35">
      <c r="A268" s="1">
        <v>45923.421053240738</v>
      </c>
      <c r="B268" t="s">
        <v>542</v>
      </c>
      <c r="C268" t="s">
        <v>543</v>
      </c>
      <c r="D268" t="s">
        <v>26</v>
      </c>
      <c r="E268">
        <v>475</v>
      </c>
      <c r="F268">
        <v>24.5</v>
      </c>
      <c r="G268" t="s">
        <v>21</v>
      </c>
      <c r="H268" t="s">
        <v>564</v>
      </c>
      <c r="I268" t="s">
        <v>23</v>
      </c>
      <c r="J268" s="4" t="str">
        <f t="shared" si="4"/>
        <v>ADANIPORTS</v>
      </c>
    </row>
    <row r="269" spans="1:10" x14ac:dyDescent="0.35">
      <c r="A269" s="1">
        <v>45923.422094907408</v>
      </c>
      <c r="B269" t="s">
        <v>565</v>
      </c>
      <c r="C269" t="s">
        <v>566</v>
      </c>
      <c r="D269" t="s">
        <v>26</v>
      </c>
      <c r="E269">
        <v>600</v>
      </c>
      <c r="F269">
        <v>43.9</v>
      </c>
      <c r="G269" t="s">
        <v>21</v>
      </c>
      <c r="H269" t="s">
        <v>567</v>
      </c>
      <c r="I269" t="s">
        <v>23</v>
      </c>
      <c r="J269" s="4" t="str">
        <f t="shared" si="4"/>
        <v>ADANIGREEN</v>
      </c>
    </row>
    <row r="270" spans="1:10" x14ac:dyDescent="0.35">
      <c r="A270" s="1">
        <v>45923.443020833336</v>
      </c>
      <c r="B270" t="s">
        <v>568</v>
      </c>
      <c r="C270" t="s">
        <v>569</v>
      </c>
      <c r="D270" t="s">
        <v>26</v>
      </c>
      <c r="E270">
        <v>300</v>
      </c>
      <c r="F270">
        <v>83.85</v>
      </c>
      <c r="G270" t="s">
        <v>21</v>
      </c>
      <c r="H270" t="s">
        <v>570</v>
      </c>
      <c r="I270" t="s">
        <v>23</v>
      </c>
      <c r="J270" s="4" t="str">
        <f t="shared" si="4"/>
        <v>ADANIENT</v>
      </c>
    </row>
    <row r="271" spans="1:10" x14ac:dyDescent="0.35">
      <c r="A271" s="1">
        <v>45923.455381944441</v>
      </c>
      <c r="B271" t="s">
        <v>568</v>
      </c>
      <c r="C271" t="s">
        <v>569</v>
      </c>
      <c r="D271" t="s">
        <v>20</v>
      </c>
      <c r="E271">
        <v>300</v>
      </c>
      <c r="F271">
        <v>100.9</v>
      </c>
      <c r="G271" t="s">
        <v>21</v>
      </c>
      <c r="H271" t="s">
        <v>571</v>
      </c>
      <c r="I271" t="s">
        <v>23</v>
      </c>
      <c r="J271" s="4" t="str">
        <f t="shared" si="4"/>
        <v>ADANIENT</v>
      </c>
    </row>
    <row r="272" spans="1:10" x14ac:dyDescent="0.35">
      <c r="A272" s="1">
        <v>45923.478009259263</v>
      </c>
      <c r="B272" t="s">
        <v>572</v>
      </c>
      <c r="C272" t="s">
        <v>573</v>
      </c>
      <c r="D272" t="s">
        <v>26</v>
      </c>
      <c r="E272">
        <v>50</v>
      </c>
      <c r="F272">
        <v>210.7</v>
      </c>
      <c r="G272" t="s">
        <v>21</v>
      </c>
      <c r="H272" t="s">
        <v>574</v>
      </c>
      <c r="I272" t="s">
        <v>23</v>
      </c>
      <c r="J272" s="4" t="str">
        <f t="shared" si="4"/>
        <v>MARUTI</v>
      </c>
    </row>
    <row r="273" spans="1:10" x14ac:dyDescent="0.35">
      <c r="A273" s="1">
        <v>45923.487453703703</v>
      </c>
      <c r="B273" t="s">
        <v>575</v>
      </c>
      <c r="C273" t="s">
        <v>576</v>
      </c>
      <c r="D273" t="s">
        <v>26</v>
      </c>
      <c r="E273">
        <v>275</v>
      </c>
      <c r="F273">
        <v>38.4</v>
      </c>
      <c r="G273" t="s">
        <v>21</v>
      </c>
      <c r="H273" t="s">
        <v>577</v>
      </c>
      <c r="I273" t="s">
        <v>23</v>
      </c>
      <c r="J273" s="4" t="str">
        <f t="shared" si="4"/>
        <v>MUTHOOTFIN</v>
      </c>
    </row>
    <row r="274" spans="1:10" x14ac:dyDescent="0.35">
      <c r="A274" s="1">
        <v>45923.523287037038</v>
      </c>
      <c r="B274" t="s">
        <v>578</v>
      </c>
      <c r="C274" t="s">
        <v>579</v>
      </c>
      <c r="D274" t="s">
        <v>26</v>
      </c>
      <c r="E274">
        <v>35</v>
      </c>
      <c r="F274">
        <v>409.6</v>
      </c>
      <c r="G274" t="s">
        <v>21</v>
      </c>
      <c r="H274" t="s">
        <v>580</v>
      </c>
      <c r="I274" t="s">
        <v>23</v>
      </c>
      <c r="J274" s="4" t="str">
        <f t="shared" si="4"/>
        <v>BANKNIFTY</v>
      </c>
    </row>
    <row r="275" spans="1:10" x14ac:dyDescent="0.35">
      <c r="A275" s="1">
        <v>45923.579780092594</v>
      </c>
      <c r="B275" t="s">
        <v>578</v>
      </c>
      <c r="C275" t="s">
        <v>579</v>
      </c>
      <c r="D275" t="s">
        <v>20</v>
      </c>
      <c r="E275">
        <v>35</v>
      </c>
      <c r="F275">
        <v>469</v>
      </c>
      <c r="G275" t="s">
        <v>21</v>
      </c>
      <c r="H275" t="s">
        <v>581</v>
      </c>
      <c r="I275" t="s">
        <v>23</v>
      </c>
      <c r="J275" s="4" t="str">
        <f t="shared" si="4"/>
        <v>BANKNIFTY</v>
      </c>
    </row>
    <row r="276" spans="1:10" x14ac:dyDescent="0.35">
      <c r="A276" s="1">
        <v>45923.593888888892</v>
      </c>
      <c r="B276" t="s">
        <v>542</v>
      </c>
      <c r="C276" t="s">
        <v>543</v>
      </c>
      <c r="D276" t="s">
        <v>20</v>
      </c>
      <c r="E276">
        <v>475</v>
      </c>
      <c r="F276">
        <v>25.35</v>
      </c>
      <c r="G276" t="s">
        <v>21</v>
      </c>
      <c r="H276" t="s">
        <v>582</v>
      </c>
      <c r="I276" t="s">
        <v>23</v>
      </c>
      <c r="J276" s="4" t="str">
        <f t="shared" si="4"/>
        <v>ADANIPORTS</v>
      </c>
    </row>
    <row r="277" spans="1:10" x14ac:dyDescent="0.35">
      <c r="A277" s="1">
        <v>45923.607708333337</v>
      </c>
      <c r="B277" t="s">
        <v>431</v>
      </c>
      <c r="C277" t="s">
        <v>432</v>
      </c>
      <c r="D277" t="s">
        <v>20</v>
      </c>
      <c r="E277">
        <v>75</v>
      </c>
      <c r="F277">
        <v>0.35</v>
      </c>
      <c r="G277" t="s">
        <v>21</v>
      </c>
      <c r="H277" t="s">
        <v>583</v>
      </c>
      <c r="I277" t="s">
        <v>23</v>
      </c>
      <c r="J277" s="4" t="str">
        <f t="shared" si="4"/>
        <v>NIFTY</v>
      </c>
    </row>
    <row r="278" spans="1:10" x14ac:dyDescent="0.35">
      <c r="A278" s="1">
        <v>45924.45784722222</v>
      </c>
      <c r="B278" t="s">
        <v>575</v>
      </c>
      <c r="C278" t="s">
        <v>576</v>
      </c>
      <c r="D278" t="s">
        <v>20</v>
      </c>
      <c r="E278">
        <v>275</v>
      </c>
      <c r="F278">
        <v>65.45</v>
      </c>
      <c r="G278" t="s">
        <v>21</v>
      </c>
      <c r="H278" t="s">
        <v>584</v>
      </c>
      <c r="I278" t="s">
        <v>23</v>
      </c>
      <c r="J278" s="4" t="str">
        <f t="shared" si="4"/>
        <v>MUTHOOTFIN</v>
      </c>
    </row>
    <row r="279" spans="1:10" x14ac:dyDescent="0.35">
      <c r="A279" s="1">
        <v>45924.608310185184</v>
      </c>
      <c r="B279" t="s">
        <v>572</v>
      </c>
      <c r="C279" t="s">
        <v>573</v>
      </c>
      <c r="D279" t="s">
        <v>20</v>
      </c>
      <c r="E279">
        <v>50</v>
      </c>
      <c r="F279">
        <v>259.5</v>
      </c>
      <c r="G279" t="s">
        <v>21</v>
      </c>
      <c r="H279" t="s">
        <v>585</v>
      </c>
      <c r="I279" t="s">
        <v>23</v>
      </c>
      <c r="J279" s="4" t="str">
        <f t="shared" si="4"/>
        <v>MARUTI</v>
      </c>
    </row>
    <row r="280" spans="1:10" x14ac:dyDescent="0.35">
      <c r="A280" s="1">
        <v>45924.639409722222</v>
      </c>
      <c r="B280" t="s">
        <v>260</v>
      </c>
      <c r="C280" t="s">
        <v>261</v>
      </c>
      <c r="D280" t="s">
        <v>20</v>
      </c>
      <c r="E280">
        <v>1355</v>
      </c>
      <c r="F280">
        <v>0.45</v>
      </c>
      <c r="G280" t="s">
        <v>21</v>
      </c>
      <c r="H280" t="s">
        <v>586</v>
      </c>
      <c r="I280" t="s">
        <v>23</v>
      </c>
      <c r="J280" s="4" t="str">
        <f t="shared" si="4"/>
        <v>UPL</v>
      </c>
    </row>
    <row r="281" spans="1:10" x14ac:dyDescent="0.35">
      <c r="A281" s="1">
        <v>45924.639513888891</v>
      </c>
      <c r="B281" t="s">
        <v>503</v>
      </c>
      <c r="C281" t="s">
        <v>504</v>
      </c>
      <c r="D281" t="s">
        <v>20</v>
      </c>
      <c r="E281">
        <v>1355</v>
      </c>
      <c r="F281">
        <v>1.8</v>
      </c>
      <c r="G281" t="s">
        <v>21</v>
      </c>
      <c r="H281" t="s">
        <v>587</v>
      </c>
      <c r="I281" t="s">
        <v>23</v>
      </c>
      <c r="J281" s="4" t="str">
        <f t="shared" si="4"/>
        <v>UPL</v>
      </c>
    </row>
    <row r="282" spans="1:10" x14ac:dyDescent="0.35">
      <c r="A282" s="1">
        <v>45924.642337962963</v>
      </c>
      <c r="B282" t="s">
        <v>397</v>
      </c>
      <c r="C282" t="s">
        <v>398</v>
      </c>
      <c r="D282" t="s">
        <v>20</v>
      </c>
      <c r="E282">
        <v>75</v>
      </c>
      <c r="F282">
        <v>29.8</v>
      </c>
      <c r="G282" t="s">
        <v>21</v>
      </c>
      <c r="H282" t="s">
        <v>588</v>
      </c>
      <c r="I282" t="s">
        <v>23</v>
      </c>
      <c r="J282" s="4" t="str">
        <f t="shared" si="4"/>
        <v>OFSS</v>
      </c>
    </row>
    <row r="283" spans="1:10" x14ac:dyDescent="0.35">
      <c r="A283" s="1">
        <v>45925.386666666665</v>
      </c>
      <c r="B283" t="s">
        <v>475</v>
      </c>
      <c r="C283" t="s">
        <v>476</v>
      </c>
      <c r="D283" t="s">
        <v>20</v>
      </c>
      <c r="E283">
        <v>100</v>
      </c>
      <c r="F283">
        <v>188</v>
      </c>
      <c r="G283" t="s">
        <v>21</v>
      </c>
      <c r="H283" t="s">
        <v>589</v>
      </c>
      <c r="I283" t="s">
        <v>23</v>
      </c>
      <c r="J283" s="4" t="str">
        <f t="shared" si="4"/>
        <v>AMBER</v>
      </c>
    </row>
    <row r="284" spans="1:10" x14ac:dyDescent="0.35">
      <c r="A284" s="1">
        <v>45925.408252314817</v>
      </c>
      <c r="B284" t="s">
        <v>484</v>
      </c>
      <c r="C284" t="s">
        <v>485</v>
      </c>
      <c r="D284" t="s">
        <v>20</v>
      </c>
      <c r="E284">
        <v>2850</v>
      </c>
      <c r="F284">
        <v>1.95</v>
      </c>
      <c r="G284" t="s">
        <v>21</v>
      </c>
      <c r="H284" t="s">
        <v>590</v>
      </c>
      <c r="I284" t="s">
        <v>23</v>
      </c>
      <c r="J284" s="4" t="str">
        <f t="shared" si="4"/>
        <v>BEL</v>
      </c>
    </row>
    <row r="285" spans="1:10" x14ac:dyDescent="0.35">
      <c r="A285" s="1">
        <v>45925.445439814815</v>
      </c>
      <c r="B285" t="s">
        <v>556</v>
      </c>
      <c r="C285" t="s">
        <v>557</v>
      </c>
      <c r="D285" t="s">
        <v>20</v>
      </c>
      <c r="E285">
        <v>850</v>
      </c>
      <c r="F285">
        <v>7.85</v>
      </c>
      <c r="G285" t="s">
        <v>21</v>
      </c>
      <c r="H285" t="s">
        <v>591</v>
      </c>
      <c r="I285" t="s">
        <v>23</v>
      </c>
      <c r="J285" s="4" t="str">
        <f t="shared" si="4"/>
        <v>CGPOWER</v>
      </c>
    </row>
    <row r="286" spans="1:10" x14ac:dyDescent="0.35">
      <c r="A286" s="1">
        <v>45925.585312499999</v>
      </c>
      <c r="B286" t="s">
        <v>525</v>
      </c>
      <c r="C286" t="s">
        <v>526</v>
      </c>
      <c r="D286" t="s">
        <v>20</v>
      </c>
      <c r="E286">
        <v>375</v>
      </c>
      <c r="F286">
        <v>5.35</v>
      </c>
      <c r="G286" t="s">
        <v>21</v>
      </c>
      <c r="H286" t="s">
        <v>592</v>
      </c>
      <c r="I286" t="s">
        <v>23</v>
      </c>
      <c r="J286" s="4" t="str">
        <f t="shared" si="4"/>
        <v>GLENMARK</v>
      </c>
    </row>
    <row r="287" spans="1:10" x14ac:dyDescent="0.35">
      <c r="A287" s="1">
        <v>45925.585914351854</v>
      </c>
      <c r="B287" t="s">
        <v>593</v>
      </c>
      <c r="C287" t="s">
        <v>594</v>
      </c>
      <c r="D287" t="s">
        <v>20</v>
      </c>
      <c r="E287">
        <v>900</v>
      </c>
      <c r="F287">
        <v>1.85</v>
      </c>
      <c r="G287" t="s">
        <v>21</v>
      </c>
      <c r="H287" t="s">
        <v>595</v>
      </c>
      <c r="I287" t="s">
        <v>23</v>
      </c>
      <c r="J287" s="4" t="str">
        <f t="shared" si="4"/>
        <v>PATANJALI</v>
      </c>
    </row>
    <row r="288" spans="1:10" x14ac:dyDescent="0.35">
      <c r="A288" s="1">
        <v>45925.586261574077</v>
      </c>
      <c r="B288" t="s">
        <v>472</v>
      </c>
      <c r="C288" t="s">
        <v>473</v>
      </c>
      <c r="D288" t="s">
        <v>20</v>
      </c>
      <c r="E288">
        <v>25</v>
      </c>
      <c r="F288">
        <v>50.15</v>
      </c>
      <c r="G288" t="s">
        <v>21</v>
      </c>
      <c r="H288" t="s">
        <v>596</v>
      </c>
      <c r="I288" t="s">
        <v>23</v>
      </c>
      <c r="J288" s="4" t="str">
        <f t="shared" si="4"/>
        <v>BOSCHLTD</v>
      </c>
    </row>
    <row r="289" spans="1:10" x14ac:dyDescent="0.35">
      <c r="A289" s="1">
        <v>45925.586319444446</v>
      </c>
      <c r="B289" t="s">
        <v>498</v>
      </c>
      <c r="C289" t="s">
        <v>499</v>
      </c>
      <c r="D289" t="s">
        <v>20</v>
      </c>
      <c r="E289">
        <v>1100</v>
      </c>
      <c r="F289">
        <v>1.5</v>
      </c>
      <c r="G289" t="s">
        <v>21</v>
      </c>
      <c r="H289" t="s">
        <v>597</v>
      </c>
      <c r="I289" t="s">
        <v>23</v>
      </c>
      <c r="J289" s="4" t="str">
        <f t="shared" si="4"/>
        <v>HDFCBANK</v>
      </c>
    </row>
    <row r="290" spans="1:10" x14ac:dyDescent="0.35">
      <c r="A290" s="1">
        <v>45925.586608796293</v>
      </c>
      <c r="B290" t="s">
        <v>349</v>
      </c>
      <c r="C290" t="s">
        <v>350</v>
      </c>
      <c r="D290" t="s">
        <v>20</v>
      </c>
      <c r="E290">
        <v>800</v>
      </c>
      <c r="F290">
        <v>0.4</v>
      </c>
      <c r="G290" t="s">
        <v>21</v>
      </c>
      <c r="H290" t="s">
        <v>598</v>
      </c>
      <c r="I290" t="s">
        <v>23</v>
      </c>
      <c r="J290" s="4" t="str">
        <f t="shared" si="4"/>
        <v>TATAMOTORS</v>
      </c>
    </row>
    <row r="291" spans="1:10" x14ac:dyDescent="0.35">
      <c r="A291" s="1">
        <v>45925.58666666667</v>
      </c>
      <c r="B291" t="s">
        <v>359</v>
      </c>
      <c r="C291" t="s">
        <v>360</v>
      </c>
      <c r="D291" t="s">
        <v>20</v>
      </c>
      <c r="E291">
        <v>350</v>
      </c>
      <c r="F291">
        <v>3.7</v>
      </c>
      <c r="G291" t="s">
        <v>21</v>
      </c>
      <c r="H291" t="s">
        <v>599</v>
      </c>
      <c r="I291" t="s">
        <v>23</v>
      </c>
      <c r="J291" s="4" t="str">
        <f t="shared" si="4"/>
        <v>TVSMOTOR</v>
      </c>
    </row>
    <row r="292" spans="1:10" x14ac:dyDescent="0.35">
      <c r="A292" s="1">
        <v>45925.586736111109</v>
      </c>
      <c r="B292" t="s">
        <v>355</v>
      </c>
      <c r="C292" t="s">
        <v>356</v>
      </c>
      <c r="D292" t="s">
        <v>20</v>
      </c>
      <c r="E292">
        <v>100</v>
      </c>
      <c r="F292">
        <v>2.0499999999999998</v>
      </c>
      <c r="G292" t="s">
        <v>21</v>
      </c>
      <c r="H292" t="s">
        <v>600</v>
      </c>
      <c r="I292" t="s">
        <v>23</v>
      </c>
      <c r="J292" s="4" t="str">
        <f t="shared" si="4"/>
        <v>TRENT</v>
      </c>
    </row>
    <row r="293" spans="1:10" x14ac:dyDescent="0.35">
      <c r="A293" s="1">
        <v>45925.586828703701</v>
      </c>
      <c r="B293" t="s">
        <v>546</v>
      </c>
      <c r="C293" t="s">
        <v>547</v>
      </c>
      <c r="D293" t="s">
        <v>20</v>
      </c>
      <c r="E293">
        <v>100</v>
      </c>
      <c r="F293">
        <v>16.399999999999999</v>
      </c>
      <c r="G293" t="s">
        <v>21</v>
      </c>
      <c r="H293" t="s">
        <v>601</v>
      </c>
      <c r="I293" t="s">
        <v>23</v>
      </c>
      <c r="J293" s="4" t="str">
        <f t="shared" si="4"/>
        <v>PERSISTENT</v>
      </c>
    </row>
    <row r="294" spans="1:10" x14ac:dyDescent="0.35">
      <c r="A294" s="1">
        <v>45925.586875000001</v>
      </c>
      <c r="B294" t="s">
        <v>400</v>
      </c>
      <c r="C294" t="s">
        <v>401</v>
      </c>
      <c r="D294" t="s">
        <v>20</v>
      </c>
      <c r="E294">
        <v>75</v>
      </c>
      <c r="F294">
        <v>24.1</v>
      </c>
      <c r="G294" t="s">
        <v>21</v>
      </c>
      <c r="H294" t="s">
        <v>602</v>
      </c>
      <c r="I294" t="s">
        <v>23</v>
      </c>
      <c r="J294" s="4" t="str">
        <f t="shared" si="4"/>
        <v>OFSS</v>
      </c>
    </row>
    <row r="295" spans="1:10" x14ac:dyDescent="0.35">
      <c r="A295" s="1">
        <v>45925.587025462963</v>
      </c>
      <c r="B295" t="s">
        <v>521</v>
      </c>
      <c r="C295" t="s">
        <v>522</v>
      </c>
      <c r="D295" t="s">
        <v>20</v>
      </c>
      <c r="E295">
        <v>140</v>
      </c>
      <c r="F295">
        <v>5.35</v>
      </c>
      <c r="G295" t="s">
        <v>21</v>
      </c>
      <c r="H295" t="s">
        <v>603</v>
      </c>
      <c r="I295" t="s">
        <v>23</v>
      </c>
      <c r="J295" s="4" t="str">
        <f t="shared" si="4"/>
        <v>MIDCPNIFTY</v>
      </c>
    </row>
    <row r="296" spans="1:10" x14ac:dyDescent="0.35">
      <c r="A296" s="1">
        <v>45925.587106481478</v>
      </c>
      <c r="B296" t="s">
        <v>515</v>
      </c>
      <c r="C296" t="s">
        <v>516</v>
      </c>
      <c r="D296" t="s">
        <v>20</v>
      </c>
      <c r="E296">
        <v>150</v>
      </c>
      <c r="F296">
        <v>6</v>
      </c>
      <c r="G296" t="s">
        <v>21</v>
      </c>
      <c r="H296" t="s">
        <v>604</v>
      </c>
      <c r="I296" t="s">
        <v>23</v>
      </c>
      <c r="J296" s="4" t="str">
        <f t="shared" si="4"/>
        <v>LTIM</v>
      </c>
    </row>
    <row r="297" spans="1:10" x14ac:dyDescent="0.35">
      <c r="A297" s="1">
        <v>45925.587164351855</v>
      </c>
      <c r="B297" t="s">
        <v>529</v>
      </c>
      <c r="C297" t="s">
        <v>530</v>
      </c>
      <c r="D297" t="s">
        <v>20</v>
      </c>
      <c r="E297">
        <v>2500</v>
      </c>
      <c r="F297">
        <v>0.6</v>
      </c>
      <c r="G297" t="s">
        <v>21</v>
      </c>
      <c r="H297" t="s">
        <v>605</v>
      </c>
      <c r="I297" t="s">
        <v>23</v>
      </c>
      <c r="J297" s="4" t="str">
        <f t="shared" si="4"/>
        <v>BIOCON</v>
      </c>
    </row>
    <row r="298" spans="1:10" x14ac:dyDescent="0.35">
      <c r="A298" s="1">
        <v>45925.62672453704</v>
      </c>
      <c r="B298" t="s">
        <v>231</v>
      </c>
      <c r="C298" t="s">
        <v>232</v>
      </c>
      <c r="D298" t="s">
        <v>20</v>
      </c>
      <c r="E298">
        <v>500</v>
      </c>
      <c r="F298">
        <v>1375.1</v>
      </c>
      <c r="G298" t="s">
        <v>21</v>
      </c>
      <c r="H298" t="s">
        <v>606</v>
      </c>
      <c r="I298" t="s">
        <v>23</v>
      </c>
      <c r="J298" s="4" t="str">
        <f t="shared" si="4"/>
        <v>RELIANCE</v>
      </c>
    </row>
    <row r="299" spans="1:10" x14ac:dyDescent="0.35">
      <c r="A299" s="1">
        <v>45925.630162037036</v>
      </c>
      <c r="B299" t="s">
        <v>553</v>
      </c>
      <c r="C299" t="s">
        <v>554</v>
      </c>
      <c r="D299" t="s">
        <v>20</v>
      </c>
      <c r="E299">
        <v>500</v>
      </c>
      <c r="F299">
        <v>2.25</v>
      </c>
      <c r="G299" t="s">
        <v>21</v>
      </c>
      <c r="H299" t="s">
        <v>607</v>
      </c>
      <c r="I299" t="s">
        <v>23</v>
      </c>
      <c r="J299" s="4" t="str">
        <f t="shared" si="4"/>
        <v>RELIANCE</v>
      </c>
    </row>
    <row r="300" spans="1:10" x14ac:dyDescent="0.35">
      <c r="A300" s="1">
        <v>45925.632013888891</v>
      </c>
      <c r="B300" t="s">
        <v>565</v>
      </c>
      <c r="C300" t="s">
        <v>566</v>
      </c>
      <c r="D300" t="s">
        <v>20</v>
      </c>
      <c r="E300">
        <v>600</v>
      </c>
      <c r="F300">
        <v>4.05</v>
      </c>
      <c r="G300" t="s">
        <v>21</v>
      </c>
      <c r="H300" t="s">
        <v>608</v>
      </c>
      <c r="I300" t="s">
        <v>23</v>
      </c>
      <c r="J300" s="4" t="str">
        <f t="shared" si="4"/>
        <v>ADANIGREEN</v>
      </c>
    </row>
    <row r="301" spans="1:10" x14ac:dyDescent="0.35">
      <c r="A301" s="1">
        <v>45931.438113425924</v>
      </c>
      <c r="B301" t="s">
        <v>609</v>
      </c>
      <c r="C301" t="s">
        <v>610</v>
      </c>
      <c r="D301" t="s">
        <v>26</v>
      </c>
      <c r="E301">
        <v>1100</v>
      </c>
      <c r="F301">
        <v>19.95</v>
      </c>
      <c r="G301" t="s">
        <v>21</v>
      </c>
      <c r="H301" t="s">
        <v>611</v>
      </c>
      <c r="I301" t="s">
        <v>23</v>
      </c>
      <c r="J301" s="4" t="str">
        <f t="shared" si="4"/>
        <v>HDFCBANK</v>
      </c>
    </row>
    <row r="302" spans="1:10" x14ac:dyDescent="0.35">
      <c r="A302" s="1">
        <v>45931.483425925922</v>
      </c>
      <c r="B302" t="s">
        <v>612</v>
      </c>
      <c r="C302" t="s">
        <v>613</v>
      </c>
      <c r="D302" t="s">
        <v>26</v>
      </c>
      <c r="E302">
        <v>175</v>
      </c>
      <c r="F302">
        <v>88.55</v>
      </c>
      <c r="G302" t="s">
        <v>21</v>
      </c>
      <c r="H302" t="s">
        <v>614</v>
      </c>
      <c r="I302" t="s">
        <v>23</v>
      </c>
      <c r="J302" s="4" t="str">
        <f t="shared" si="4"/>
        <v>TITAN</v>
      </c>
    </row>
    <row r="303" spans="1:10" x14ac:dyDescent="0.35">
      <c r="A303" s="1">
        <v>45931.488842592589</v>
      </c>
      <c r="B303" t="s">
        <v>615</v>
      </c>
      <c r="C303" t="s">
        <v>616</v>
      </c>
      <c r="D303" t="s">
        <v>26</v>
      </c>
      <c r="E303">
        <v>150</v>
      </c>
      <c r="F303">
        <v>5624</v>
      </c>
      <c r="G303" t="s">
        <v>21</v>
      </c>
      <c r="H303" t="s">
        <v>617</v>
      </c>
      <c r="I303" t="s">
        <v>23</v>
      </c>
      <c r="J303" s="4" t="str">
        <f t="shared" si="4"/>
        <v>INDIGO</v>
      </c>
    </row>
    <row r="304" spans="1:10" x14ac:dyDescent="0.35">
      <c r="A304" s="1">
        <v>45931.505046296297</v>
      </c>
      <c r="B304" t="s">
        <v>609</v>
      </c>
      <c r="C304" t="s">
        <v>610</v>
      </c>
      <c r="D304" t="s">
        <v>20</v>
      </c>
      <c r="E304">
        <v>1100</v>
      </c>
      <c r="F304">
        <v>24.85</v>
      </c>
      <c r="G304" t="s">
        <v>21</v>
      </c>
      <c r="H304" t="s">
        <v>618</v>
      </c>
      <c r="I304" t="s">
        <v>23</v>
      </c>
      <c r="J304" s="4" t="str">
        <f t="shared" si="4"/>
        <v>HDFCBANK</v>
      </c>
    </row>
    <row r="305" spans="1:10" x14ac:dyDescent="0.35">
      <c r="A305" s="1">
        <v>45931.577013888891</v>
      </c>
      <c r="B305" t="s">
        <v>619</v>
      </c>
      <c r="C305" t="s">
        <v>620</v>
      </c>
      <c r="D305" t="s">
        <v>26</v>
      </c>
      <c r="E305">
        <v>6750</v>
      </c>
      <c r="F305">
        <v>4.0999999999999996</v>
      </c>
      <c r="G305" t="s">
        <v>21</v>
      </c>
      <c r="H305" t="s">
        <v>621</v>
      </c>
      <c r="I305" t="s">
        <v>23</v>
      </c>
      <c r="J305" s="4" t="str">
        <f t="shared" si="4"/>
        <v>CANBK</v>
      </c>
    </row>
    <row r="306" spans="1:10" x14ac:dyDescent="0.35">
      <c r="A306" s="1">
        <v>45931.635925925926</v>
      </c>
      <c r="B306" t="s">
        <v>615</v>
      </c>
      <c r="C306" t="s">
        <v>616</v>
      </c>
      <c r="D306" t="s">
        <v>20</v>
      </c>
      <c r="E306">
        <v>150</v>
      </c>
      <c r="F306">
        <v>5631</v>
      </c>
      <c r="G306" t="s">
        <v>21</v>
      </c>
      <c r="H306" t="s">
        <v>622</v>
      </c>
      <c r="I306" t="s">
        <v>23</v>
      </c>
      <c r="J306" s="4" t="str">
        <f t="shared" si="4"/>
        <v>INDIGO</v>
      </c>
    </row>
    <row r="307" spans="1:10" x14ac:dyDescent="0.35">
      <c r="A307" s="1">
        <v>45931.642476851855</v>
      </c>
      <c r="B307" t="s">
        <v>612</v>
      </c>
      <c r="C307" t="s">
        <v>613</v>
      </c>
      <c r="D307" t="s">
        <v>20</v>
      </c>
      <c r="E307">
        <v>175</v>
      </c>
      <c r="F307">
        <v>95.05</v>
      </c>
      <c r="G307" t="s">
        <v>21</v>
      </c>
      <c r="H307" t="s">
        <v>623</v>
      </c>
      <c r="I307" t="s">
        <v>23</v>
      </c>
      <c r="J307" s="4" t="str">
        <f t="shared" si="4"/>
        <v>TITAN</v>
      </c>
    </row>
    <row r="308" spans="1:10" x14ac:dyDescent="0.35">
      <c r="A308" s="1">
        <v>45931.645775462966</v>
      </c>
      <c r="B308" t="s">
        <v>624</v>
      </c>
      <c r="C308" t="s">
        <v>625</v>
      </c>
      <c r="D308" t="s">
        <v>26</v>
      </c>
      <c r="E308">
        <v>400</v>
      </c>
      <c r="F308">
        <v>2075</v>
      </c>
      <c r="G308" t="s">
        <v>21</v>
      </c>
      <c r="H308" t="s">
        <v>626</v>
      </c>
      <c r="I308" t="s">
        <v>23</v>
      </c>
      <c r="J308" s="4" t="str">
        <f t="shared" si="4"/>
        <v>KOTAKBANK</v>
      </c>
    </row>
    <row r="309" spans="1:10" x14ac:dyDescent="0.35">
      <c r="A309" s="1">
        <v>45933.457488425927</v>
      </c>
      <c r="B309" t="s">
        <v>624</v>
      </c>
      <c r="C309" t="s">
        <v>625</v>
      </c>
      <c r="D309" t="s">
        <v>20</v>
      </c>
      <c r="E309">
        <v>400</v>
      </c>
      <c r="F309">
        <v>2109.8000000000002</v>
      </c>
      <c r="G309" t="s">
        <v>21</v>
      </c>
      <c r="H309" t="s">
        <v>627</v>
      </c>
      <c r="I309" t="s">
        <v>23</v>
      </c>
      <c r="J309" s="4" t="str">
        <f t="shared" si="4"/>
        <v>KOTAKBANK</v>
      </c>
    </row>
    <row r="310" spans="1:10" x14ac:dyDescent="0.35">
      <c r="A310" s="1">
        <v>45933.538703703707</v>
      </c>
      <c r="B310" t="s">
        <v>619</v>
      </c>
      <c r="C310" t="s">
        <v>620</v>
      </c>
      <c r="D310" t="s">
        <v>20</v>
      </c>
      <c r="E310">
        <v>6750</v>
      </c>
      <c r="F310">
        <v>5.55</v>
      </c>
      <c r="G310" t="s">
        <v>21</v>
      </c>
      <c r="H310" t="s">
        <v>628</v>
      </c>
      <c r="I310" t="s">
        <v>23</v>
      </c>
      <c r="J310" s="4" t="str">
        <f t="shared" si="4"/>
        <v>CANBK</v>
      </c>
    </row>
    <row r="311" spans="1:10" x14ac:dyDescent="0.35">
      <c r="A311" s="1">
        <v>45933.60255787037</v>
      </c>
      <c r="B311" t="s">
        <v>629</v>
      </c>
      <c r="C311" t="s">
        <v>630</v>
      </c>
      <c r="D311" t="s">
        <v>26</v>
      </c>
      <c r="E311">
        <v>1100</v>
      </c>
      <c r="F311">
        <v>19.149999999999999</v>
      </c>
      <c r="G311" t="s">
        <v>21</v>
      </c>
      <c r="H311" t="s">
        <v>631</v>
      </c>
      <c r="I311" t="s">
        <v>23</v>
      </c>
      <c r="J311" s="4" t="str">
        <f t="shared" si="4"/>
        <v>HDFCBANK</v>
      </c>
    </row>
    <row r="312" spans="1:10" x14ac:dyDescent="0.35">
      <c r="A312" s="1">
        <v>45933.603159722225</v>
      </c>
      <c r="B312" t="s">
        <v>632</v>
      </c>
      <c r="C312" t="s">
        <v>633</v>
      </c>
      <c r="D312" t="s">
        <v>26</v>
      </c>
      <c r="E312">
        <v>700</v>
      </c>
      <c r="F312">
        <v>24.9</v>
      </c>
      <c r="G312" t="s">
        <v>21</v>
      </c>
      <c r="H312" t="s">
        <v>634</v>
      </c>
      <c r="I312" t="s">
        <v>23</v>
      </c>
      <c r="J312" s="4" t="str">
        <f t="shared" si="4"/>
        <v>ICICIBANK</v>
      </c>
    </row>
    <row r="313" spans="1:10" x14ac:dyDescent="0.35">
      <c r="A313" s="1">
        <v>45933.605914351851</v>
      </c>
      <c r="B313" t="s">
        <v>635</v>
      </c>
      <c r="C313" t="s">
        <v>636</v>
      </c>
      <c r="D313" t="s">
        <v>26</v>
      </c>
      <c r="E313">
        <v>625</v>
      </c>
      <c r="F313">
        <v>1084.8</v>
      </c>
      <c r="G313" t="s">
        <v>21</v>
      </c>
      <c r="H313" t="s">
        <v>637</v>
      </c>
      <c r="I313" t="s">
        <v>23</v>
      </c>
      <c r="J313" s="4" t="str">
        <f t="shared" si="4"/>
        <v>JINDALSTEL</v>
      </c>
    </row>
    <row r="314" spans="1:10" x14ac:dyDescent="0.35">
      <c r="A314" s="1">
        <v>45933.610011574077</v>
      </c>
      <c r="B314" t="s">
        <v>638</v>
      </c>
      <c r="C314" t="s">
        <v>639</v>
      </c>
      <c r="D314" t="s">
        <v>26</v>
      </c>
      <c r="E314">
        <v>800</v>
      </c>
      <c r="F314">
        <v>16.95</v>
      </c>
      <c r="G314" t="s">
        <v>21</v>
      </c>
      <c r="H314" t="s">
        <v>640</v>
      </c>
      <c r="I314" t="s">
        <v>23</v>
      </c>
      <c r="J314" s="4" t="str">
        <f t="shared" si="4"/>
        <v>TATAMOTORS</v>
      </c>
    </row>
    <row r="315" spans="1:10" x14ac:dyDescent="0.35">
      <c r="A315" s="1">
        <v>45936.387800925928</v>
      </c>
      <c r="B315" t="s">
        <v>635</v>
      </c>
      <c r="C315" t="s">
        <v>636</v>
      </c>
      <c r="D315" t="s">
        <v>20</v>
      </c>
      <c r="E315">
        <v>625</v>
      </c>
      <c r="F315">
        <v>1059.0999999999999</v>
      </c>
      <c r="G315" t="s">
        <v>21</v>
      </c>
      <c r="H315" t="s">
        <v>641</v>
      </c>
      <c r="I315" t="s">
        <v>23</v>
      </c>
      <c r="J315" s="4" t="str">
        <f t="shared" si="4"/>
        <v>JINDALSTEL</v>
      </c>
    </row>
    <row r="316" spans="1:10" x14ac:dyDescent="0.35">
      <c r="A316" s="1">
        <v>45936.47552083333</v>
      </c>
      <c r="B316" t="s">
        <v>629</v>
      </c>
      <c r="C316" t="s">
        <v>630</v>
      </c>
      <c r="D316" t="s">
        <v>20</v>
      </c>
      <c r="E316">
        <v>1100</v>
      </c>
      <c r="F316">
        <v>24.2</v>
      </c>
      <c r="G316" t="s">
        <v>21</v>
      </c>
      <c r="H316" t="s">
        <v>642</v>
      </c>
      <c r="I316" t="s">
        <v>23</v>
      </c>
      <c r="J316" s="4" t="str">
        <f t="shared" si="4"/>
        <v>HDFCBANK</v>
      </c>
    </row>
    <row r="317" spans="1:10" x14ac:dyDescent="0.35">
      <c r="A317" s="1">
        <v>45936.483472222222</v>
      </c>
      <c r="B317" t="s">
        <v>643</v>
      </c>
      <c r="C317" t="s">
        <v>644</v>
      </c>
      <c r="D317" t="s">
        <v>26</v>
      </c>
      <c r="E317">
        <v>175</v>
      </c>
      <c r="F317">
        <v>3429.5</v>
      </c>
      <c r="G317" t="s">
        <v>21</v>
      </c>
      <c r="H317" t="s">
        <v>645</v>
      </c>
      <c r="I317" t="s">
        <v>23</v>
      </c>
      <c r="J317" s="4" t="str">
        <f t="shared" si="4"/>
        <v>TITAN</v>
      </c>
    </row>
    <row r="318" spans="1:10" x14ac:dyDescent="0.35">
      <c r="A318" s="1">
        <v>45936.485520833332</v>
      </c>
      <c r="B318" t="s">
        <v>646</v>
      </c>
      <c r="C318" t="s">
        <v>647</v>
      </c>
      <c r="D318" t="s">
        <v>26</v>
      </c>
      <c r="E318">
        <v>3750</v>
      </c>
      <c r="F318">
        <v>143.65</v>
      </c>
      <c r="G318" t="s">
        <v>21</v>
      </c>
      <c r="H318" t="s">
        <v>648</v>
      </c>
      <c r="I318" t="s">
        <v>23</v>
      </c>
      <c r="J318" s="4" t="str">
        <f t="shared" si="4"/>
        <v>IEX</v>
      </c>
    </row>
    <row r="319" spans="1:10" x14ac:dyDescent="0.35">
      <c r="A319" s="1">
        <v>45936.533310185187</v>
      </c>
      <c r="B319" t="s">
        <v>649</v>
      </c>
      <c r="C319" t="s">
        <v>650</v>
      </c>
      <c r="D319" t="s">
        <v>26</v>
      </c>
      <c r="E319">
        <v>6750</v>
      </c>
      <c r="F319">
        <v>3.9</v>
      </c>
      <c r="G319" t="s">
        <v>21</v>
      </c>
      <c r="H319" t="s">
        <v>651</v>
      </c>
      <c r="I319" t="s">
        <v>23</v>
      </c>
      <c r="J319" s="4" t="str">
        <f t="shared" si="4"/>
        <v>CANBK</v>
      </c>
    </row>
    <row r="320" spans="1:10" x14ac:dyDescent="0.35">
      <c r="A320" s="1">
        <v>45936.533645833333</v>
      </c>
      <c r="B320" t="s">
        <v>652</v>
      </c>
      <c r="C320" t="s">
        <v>653</v>
      </c>
      <c r="D320" t="s">
        <v>26</v>
      </c>
      <c r="E320">
        <v>400</v>
      </c>
      <c r="F320">
        <v>41.75</v>
      </c>
      <c r="G320" t="s">
        <v>21</v>
      </c>
      <c r="H320" t="s">
        <v>654</v>
      </c>
      <c r="I320" t="s">
        <v>23</v>
      </c>
      <c r="J320" s="4" t="str">
        <f t="shared" si="4"/>
        <v>KOTAKBANK</v>
      </c>
    </row>
    <row r="321" spans="1:10" x14ac:dyDescent="0.35">
      <c r="A321" s="1">
        <v>45936.582372685189</v>
      </c>
      <c r="B321" t="s">
        <v>655</v>
      </c>
      <c r="C321" t="s">
        <v>656</v>
      </c>
      <c r="D321" t="s">
        <v>26</v>
      </c>
      <c r="E321">
        <v>475</v>
      </c>
      <c r="F321">
        <v>35.950000000000003</v>
      </c>
      <c r="G321" t="s">
        <v>21</v>
      </c>
      <c r="H321" t="s">
        <v>657</v>
      </c>
      <c r="I321" t="s">
        <v>23</v>
      </c>
      <c r="J321" s="4" t="str">
        <f t="shared" si="4"/>
        <v>ADANIPORTS</v>
      </c>
    </row>
    <row r="322" spans="1:10" x14ac:dyDescent="0.35">
      <c r="A322" s="1">
        <v>45936.645740740743</v>
      </c>
      <c r="B322" t="s">
        <v>643</v>
      </c>
      <c r="C322" t="s">
        <v>644</v>
      </c>
      <c r="D322" t="s">
        <v>20</v>
      </c>
      <c r="E322">
        <v>175</v>
      </c>
      <c r="F322">
        <v>3441</v>
      </c>
      <c r="G322" t="s">
        <v>21</v>
      </c>
      <c r="H322" t="s">
        <v>658</v>
      </c>
      <c r="I322" t="s">
        <v>23</v>
      </c>
      <c r="J322" s="4" t="str">
        <f t="shared" si="4"/>
        <v>TITAN</v>
      </c>
    </row>
    <row r="323" spans="1:10" x14ac:dyDescent="0.35">
      <c r="A323" s="1">
        <v>45937.44195601852</v>
      </c>
      <c r="B323" t="s">
        <v>632</v>
      </c>
      <c r="C323" t="s">
        <v>633</v>
      </c>
      <c r="D323" t="s">
        <v>20</v>
      </c>
      <c r="E323">
        <v>700</v>
      </c>
      <c r="F323">
        <v>32.15</v>
      </c>
      <c r="G323" t="s">
        <v>21</v>
      </c>
      <c r="H323" t="s">
        <v>659</v>
      </c>
      <c r="I323" t="s">
        <v>23</v>
      </c>
      <c r="J323" s="4" t="str">
        <f t="shared" si="4"/>
        <v>ICICIBANK</v>
      </c>
    </row>
    <row r="324" spans="1:10" x14ac:dyDescent="0.35">
      <c r="A324" s="1">
        <v>45937.610821759263</v>
      </c>
      <c r="B324" t="s">
        <v>649</v>
      </c>
      <c r="C324" t="s">
        <v>650</v>
      </c>
      <c r="D324" t="s">
        <v>20</v>
      </c>
      <c r="E324">
        <v>6750</v>
      </c>
      <c r="F324">
        <v>4.7</v>
      </c>
      <c r="G324" t="s">
        <v>21</v>
      </c>
      <c r="H324" t="s">
        <v>660</v>
      </c>
      <c r="I324" t="s">
        <v>23</v>
      </c>
      <c r="J324" s="4" t="str">
        <f t="shared" si="4"/>
        <v>CANBK</v>
      </c>
    </row>
    <row r="325" spans="1:10" x14ac:dyDescent="0.35">
      <c r="A325" s="1">
        <v>45937.642106481479</v>
      </c>
      <c r="B325" t="s">
        <v>661</v>
      </c>
      <c r="C325" t="s">
        <v>662</v>
      </c>
      <c r="D325" t="s">
        <v>26</v>
      </c>
      <c r="E325">
        <v>725</v>
      </c>
      <c r="F325">
        <v>21.5</v>
      </c>
      <c r="G325" t="s">
        <v>21</v>
      </c>
      <c r="H325" t="s">
        <v>663</v>
      </c>
      <c r="I325" t="s">
        <v>23</v>
      </c>
      <c r="J325" s="4" t="str">
        <f t="shared" si="4"/>
        <v>TITAGARH</v>
      </c>
    </row>
    <row r="326" spans="1:10" x14ac:dyDescent="0.35">
      <c r="A326" s="1">
        <v>45940.507071759261</v>
      </c>
      <c r="B326" t="s">
        <v>655</v>
      </c>
      <c r="C326" t="s">
        <v>656</v>
      </c>
      <c r="D326" t="s">
        <v>20</v>
      </c>
      <c r="E326">
        <v>475</v>
      </c>
      <c r="F326">
        <v>36.700000000000003</v>
      </c>
      <c r="G326" t="s">
        <v>21</v>
      </c>
      <c r="H326" t="s">
        <v>664</v>
      </c>
      <c r="I326" t="s">
        <v>23</v>
      </c>
      <c r="J326" s="4" t="str">
        <f t="shared" si="4"/>
        <v>ADANIPORTS</v>
      </c>
    </row>
    <row r="327" spans="1:10" x14ac:dyDescent="0.35">
      <c r="A327" s="1">
        <v>45944.459386574075</v>
      </c>
      <c r="B327" t="s">
        <v>646</v>
      </c>
      <c r="C327" t="s">
        <v>647</v>
      </c>
      <c r="D327" t="s">
        <v>20</v>
      </c>
      <c r="E327">
        <v>3750</v>
      </c>
      <c r="F327">
        <v>135.69999999999999</v>
      </c>
      <c r="G327" t="s">
        <v>21</v>
      </c>
      <c r="H327" t="s">
        <v>665</v>
      </c>
      <c r="I327" t="s">
        <v>23</v>
      </c>
      <c r="J327" s="4" t="str">
        <f t="shared" si="4"/>
        <v>IEX</v>
      </c>
    </row>
    <row r="328" spans="1:10" x14ac:dyDescent="0.35">
      <c r="A328" s="1">
        <v>45945.391134259262</v>
      </c>
      <c r="B328" t="s">
        <v>652</v>
      </c>
      <c r="C328" t="s">
        <v>653</v>
      </c>
      <c r="D328" t="s">
        <v>20</v>
      </c>
      <c r="E328">
        <v>400</v>
      </c>
      <c r="F328">
        <v>41.95</v>
      </c>
      <c r="G328" t="s">
        <v>21</v>
      </c>
      <c r="H328" t="s">
        <v>666</v>
      </c>
      <c r="I328" t="s">
        <v>23</v>
      </c>
      <c r="J328" s="4" t="str">
        <f t="shared" si="4"/>
        <v>KOTAKBANK</v>
      </c>
    </row>
    <row r="329" spans="1:10" x14ac:dyDescent="0.35">
      <c r="A329" s="1">
        <v>45945.625405092593</v>
      </c>
      <c r="B329" t="s">
        <v>667</v>
      </c>
      <c r="C329" t="s">
        <v>668</v>
      </c>
      <c r="D329" t="s">
        <v>26</v>
      </c>
      <c r="E329">
        <v>150</v>
      </c>
      <c r="F329">
        <v>5752.5</v>
      </c>
      <c r="G329" t="s">
        <v>21</v>
      </c>
      <c r="H329" t="s">
        <v>669</v>
      </c>
      <c r="I329" t="s">
        <v>23</v>
      </c>
      <c r="J329" s="4" t="str">
        <f t="shared" ref="J329:J392" si="5">LEFT(B329,FIND(" ",B329)-1)</f>
        <v>HDFCAMC</v>
      </c>
    </row>
    <row r="330" spans="1:10" x14ac:dyDescent="0.35">
      <c r="A330" s="1">
        <v>45945.6408912037</v>
      </c>
      <c r="B330" t="s">
        <v>667</v>
      </c>
      <c r="C330" t="s">
        <v>668</v>
      </c>
      <c r="D330" t="s">
        <v>20</v>
      </c>
      <c r="E330">
        <v>150</v>
      </c>
      <c r="F330">
        <v>5778.5</v>
      </c>
      <c r="G330" t="s">
        <v>21</v>
      </c>
      <c r="H330" t="s">
        <v>670</v>
      </c>
      <c r="I330" t="s">
        <v>23</v>
      </c>
      <c r="J330" s="4" t="str">
        <f t="shared" si="5"/>
        <v>HDFCAMC</v>
      </c>
    </row>
    <row r="331" spans="1:10" x14ac:dyDescent="0.35">
      <c r="A331" s="1">
        <v>45945.644282407404</v>
      </c>
      <c r="B331" t="s">
        <v>671</v>
      </c>
      <c r="C331" t="s">
        <v>672</v>
      </c>
      <c r="D331" t="s">
        <v>26</v>
      </c>
      <c r="E331">
        <v>675</v>
      </c>
      <c r="F331">
        <v>28.95</v>
      </c>
      <c r="G331" t="s">
        <v>21</v>
      </c>
      <c r="H331" t="s">
        <v>673</v>
      </c>
      <c r="I331" t="s">
        <v>23</v>
      </c>
      <c r="J331" s="4" t="str">
        <f t="shared" si="5"/>
        <v>ADANIENSOL</v>
      </c>
    </row>
    <row r="332" spans="1:10" x14ac:dyDescent="0.35">
      <c r="A332" s="1">
        <v>45946.386064814818</v>
      </c>
      <c r="B332" t="s">
        <v>674</v>
      </c>
      <c r="C332" t="s">
        <v>675</v>
      </c>
      <c r="D332" t="s">
        <v>26</v>
      </c>
      <c r="E332">
        <v>500</v>
      </c>
      <c r="F332">
        <v>2089.6999999999998</v>
      </c>
      <c r="G332" t="s">
        <v>21</v>
      </c>
      <c r="H332" t="s">
        <v>676</v>
      </c>
      <c r="I332" t="s">
        <v>23</v>
      </c>
      <c r="J332" s="4" t="str">
        <f t="shared" si="5"/>
        <v>BAJAJFINSV</v>
      </c>
    </row>
    <row r="333" spans="1:10" x14ac:dyDescent="0.35">
      <c r="A333" s="1">
        <v>45946.39402777778</v>
      </c>
      <c r="B333" t="s">
        <v>667</v>
      </c>
      <c r="C333" t="s">
        <v>668</v>
      </c>
      <c r="D333" t="s">
        <v>26</v>
      </c>
      <c r="E333">
        <v>150</v>
      </c>
      <c r="F333">
        <v>5667.5</v>
      </c>
      <c r="G333" t="s">
        <v>21</v>
      </c>
      <c r="H333" t="s">
        <v>677</v>
      </c>
      <c r="I333" t="s">
        <v>23</v>
      </c>
      <c r="J333" s="4" t="str">
        <f t="shared" si="5"/>
        <v>HDFCAMC</v>
      </c>
    </row>
    <row r="334" spans="1:10" x14ac:dyDescent="0.35">
      <c r="A334" s="1">
        <v>45946.405451388891</v>
      </c>
      <c r="B334" t="s">
        <v>678</v>
      </c>
      <c r="C334" t="s">
        <v>679</v>
      </c>
      <c r="D334" t="s">
        <v>26</v>
      </c>
      <c r="E334">
        <v>175</v>
      </c>
      <c r="F334">
        <v>56.55</v>
      </c>
      <c r="G334" t="s">
        <v>21</v>
      </c>
      <c r="H334" t="s">
        <v>680</v>
      </c>
      <c r="I334" t="s">
        <v>23</v>
      </c>
      <c r="J334" s="4" t="str">
        <f t="shared" si="5"/>
        <v>TITAN</v>
      </c>
    </row>
    <row r="335" spans="1:10" x14ac:dyDescent="0.35">
      <c r="A335" s="1">
        <v>45946.456284722219</v>
      </c>
      <c r="B335" t="s">
        <v>678</v>
      </c>
      <c r="C335" t="s">
        <v>679</v>
      </c>
      <c r="D335" t="s">
        <v>20</v>
      </c>
      <c r="E335">
        <v>175</v>
      </c>
      <c r="F335">
        <v>79.8</v>
      </c>
      <c r="G335" t="s">
        <v>21</v>
      </c>
      <c r="H335" t="s">
        <v>681</v>
      </c>
      <c r="I335" t="s">
        <v>23</v>
      </c>
      <c r="J335" s="4" t="str">
        <f t="shared" si="5"/>
        <v>TITAN</v>
      </c>
    </row>
    <row r="336" spans="1:10" x14ac:dyDescent="0.35">
      <c r="A336" s="1">
        <v>45946.471724537034</v>
      </c>
      <c r="B336" t="s">
        <v>667</v>
      </c>
      <c r="C336" t="s">
        <v>668</v>
      </c>
      <c r="D336" t="s">
        <v>20</v>
      </c>
      <c r="E336">
        <v>150</v>
      </c>
      <c r="F336">
        <v>5827</v>
      </c>
      <c r="G336" t="s">
        <v>21</v>
      </c>
      <c r="H336" t="s">
        <v>682</v>
      </c>
      <c r="I336" t="s">
        <v>23</v>
      </c>
      <c r="J336" s="4" t="str">
        <f t="shared" si="5"/>
        <v>HDFCAMC</v>
      </c>
    </row>
    <row r="337" spans="1:10" x14ac:dyDescent="0.35">
      <c r="A337" s="1">
        <v>45946.475300925929</v>
      </c>
      <c r="B337" t="s">
        <v>674</v>
      </c>
      <c r="C337" t="s">
        <v>675</v>
      </c>
      <c r="D337" t="s">
        <v>20</v>
      </c>
      <c r="E337">
        <v>500</v>
      </c>
      <c r="F337">
        <v>2096</v>
      </c>
      <c r="G337" t="s">
        <v>21</v>
      </c>
      <c r="H337" t="s">
        <v>683</v>
      </c>
      <c r="I337" t="s">
        <v>23</v>
      </c>
      <c r="J337" s="4" t="str">
        <f t="shared" si="5"/>
        <v>BAJAJFINSV</v>
      </c>
    </row>
    <row r="338" spans="1:10" x14ac:dyDescent="0.35">
      <c r="A338" s="1">
        <v>45946.49486111111</v>
      </c>
      <c r="B338" t="s">
        <v>684</v>
      </c>
      <c r="C338" t="s">
        <v>685</v>
      </c>
      <c r="D338" t="s">
        <v>26</v>
      </c>
      <c r="E338">
        <v>625</v>
      </c>
      <c r="F338">
        <v>17</v>
      </c>
      <c r="G338" t="s">
        <v>21</v>
      </c>
      <c r="H338" t="s">
        <v>686</v>
      </c>
      <c r="I338" t="s">
        <v>23</v>
      </c>
      <c r="J338" s="4" t="str">
        <f t="shared" si="5"/>
        <v>AXISBANK</v>
      </c>
    </row>
    <row r="339" spans="1:10" x14ac:dyDescent="0.35">
      <c r="A339" s="1">
        <v>45946.505023148151</v>
      </c>
      <c r="B339" t="s">
        <v>687</v>
      </c>
      <c r="C339" t="s">
        <v>688</v>
      </c>
      <c r="D339" t="s">
        <v>26</v>
      </c>
      <c r="E339">
        <v>100</v>
      </c>
      <c r="F339">
        <v>7073.5</v>
      </c>
      <c r="G339" t="s">
        <v>21</v>
      </c>
      <c r="H339" t="s">
        <v>689</v>
      </c>
      <c r="I339" t="s">
        <v>23</v>
      </c>
      <c r="J339" s="4" t="str">
        <f t="shared" si="5"/>
        <v>KAYNES</v>
      </c>
    </row>
    <row r="340" spans="1:10" x14ac:dyDescent="0.35">
      <c r="A340" s="1">
        <v>45946.5153125</v>
      </c>
      <c r="B340" t="s">
        <v>690</v>
      </c>
      <c r="C340" t="s">
        <v>691</v>
      </c>
      <c r="D340" t="s">
        <v>26</v>
      </c>
      <c r="E340">
        <v>6750</v>
      </c>
      <c r="F340">
        <v>128.46</v>
      </c>
      <c r="G340" t="s">
        <v>21</v>
      </c>
      <c r="H340" t="s">
        <v>692</v>
      </c>
      <c r="I340" t="s">
        <v>23</v>
      </c>
      <c r="J340" s="4" t="str">
        <f t="shared" si="5"/>
        <v>CANBK</v>
      </c>
    </row>
    <row r="341" spans="1:10" x14ac:dyDescent="0.35">
      <c r="A341" s="1">
        <v>45946.577835648146</v>
      </c>
      <c r="B341" t="s">
        <v>693</v>
      </c>
      <c r="C341" t="s">
        <v>694</v>
      </c>
      <c r="D341" t="s">
        <v>26</v>
      </c>
      <c r="E341">
        <v>150</v>
      </c>
      <c r="F341">
        <v>105.95</v>
      </c>
      <c r="G341" t="s">
        <v>21</v>
      </c>
      <c r="H341" t="s">
        <v>695</v>
      </c>
      <c r="I341" t="s">
        <v>23</v>
      </c>
      <c r="J341" s="4" t="str">
        <f t="shared" si="5"/>
        <v>HDFCAMC</v>
      </c>
    </row>
    <row r="342" spans="1:10" x14ac:dyDescent="0.35">
      <c r="A342" s="1">
        <v>45946.614849537036</v>
      </c>
      <c r="B342" t="s">
        <v>506</v>
      </c>
      <c r="C342" t="s">
        <v>507</v>
      </c>
      <c r="D342" t="s">
        <v>20</v>
      </c>
      <c r="E342">
        <v>75</v>
      </c>
      <c r="F342">
        <v>54.9</v>
      </c>
      <c r="G342" t="s">
        <v>21</v>
      </c>
      <c r="H342" t="s">
        <v>696</v>
      </c>
      <c r="I342" t="s">
        <v>23</v>
      </c>
      <c r="J342" s="4" t="str">
        <f t="shared" si="5"/>
        <v>NIFTY</v>
      </c>
    </row>
    <row r="343" spans="1:10" x14ac:dyDescent="0.35">
      <c r="A343" s="1">
        <v>45947.393819444442</v>
      </c>
      <c r="B343" t="s">
        <v>697</v>
      </c>
      <c r="C343" t="s">
        <v>698</v>
      </c>
      <c r="D343" t="s">
        <v>26</v>
      </c>
      <c r="E343">
        <v>275</v>
      </c>
      <c r="F343">
        <v>68.95</v>
      </c>
      <c r="G343" t="s">
        <v>21</v>
      </c>
      <c r="H343" t="s">
        <v>699</v>
      </c>
      <c r="I343" t="s">
        <v>23</v>
      </c>
      <c r="J343" s="4" t="str">
        <f t="shared" si="5"/>
        <v>MUTHOOTFIN</v>
      </c>
    </row>
    <row r="344" spans="1:10" x14ac:dyDescent="0.35">
      <c r="A344" s="1">
        <v>45947.394282407404</v>
      </c>
      <c r="B344" t="s">
        <v>700</v>
      </c>
      <c r="C344" t="s">
        <v>701</v>
      </c>
      <c r="D344" t="s">
        <v>26</v>
      </c>
      <c r="E344">
        <v>3000</v>
      </c>
      <c r="F344">
        <v>6.25</v>
      </c>
      <c r="G344" t="s">
        <v>21</v>
      </c>
      <c r="H344" t="s">
        <v>702</v>
      </c>
      <c r="I344" t="s">
        <v>23</v>
      </c>
      <c r="J344" s="4" t="str">
        <f t="shared" si="5"/>
        <v>MANAPPURAM</v>
      </c>
    </row>
    <row r="345" spans="1:10" x14ac:dyDescent="0.35">
      <c r="A345" s="1">
        <v>45947.467152777775</v>
      </c>
      <c r="B345" t="s">
        <v>649</v>
      </c>
      <c r="C345" t="s">
        <v>650</v>
      </c>
      <c r="D345" t="s">
        <v>26</v>
      </c>
      <c r="E345">
        <v>6750</v>
      </c>
      <c r="F345">
        <v>2.8</v>
      </c>
      <c r="G345" t="s">
        <v>21</v>
      </c>
      <c r="H345" t="s">
        <v>703</v>
      </c>
      <c r="I345" t="s">
        <v>23</v>
      </c>
      <c r="J345" s="4" t="str">
        <f t="shared" si="5"/>
        <v>CANBK</v>
      </c>
    </row>
    <row r="346" spans="1:10" x14ac:dyDescent="0.35">
      <c r="A346" s="1">
        <v>45947.535983796297</v>
      </c>
      <c r="B346" t="s">
        <v>697</v>
      </c>
      <c r="C346" t="s">
        <v>698</v>
      </c>
      <c r="D346" t="s">
        <v>20</v>
      </c>
      <c r="E346">
        <v>275</v>
      </c>
      <c r="F346">
        <v>70.599999999999994</v>
      </c>
      <c r="G346" t="s">
        <v>21</v>
      </c>
      <c r="H346" t="s">
        <v>704</v>
      </c>
      <c r="I346" t="s">
        <v>23</v>
      </c>
      <c r="J346" s="4" t="str">
        <f t="shared" si="5"/>
        <v>MUTHOOTFIN</v>
      </c>
    </row>
    <row r="347" spans="1:10" x14ac:dyDescent="0.35">
      <c r="A347" s="1">
        <v>45947.550173611111</v>
      </c>
      <c r="B347" t="s">
        <v>705</v>
      </c>
      <c r="C347" t="s">
        <v>706</v>
      </c>
      <c r="D347" t="s">
        <v>26</v>
      </c>
      <c r="E347">
        <v>2850</v>
      </c>
      <c r="F347">
        <v>6.85</v>
      </c>
      <c r="G347" t="s">
        <v>21</v>
      </c>
      <c r="H347" t="s">
        <v>707</v>
      </c>
      <c r="I347" t="s">
        <v>23</v>
      </c>
      <c r="J347" s="4" t="str">
        <f t="shared" si="5"/>
        <v>BEL</v>
      </c>
    </row>
    <row r="348" spans="1:10" x14ac:dyDescent="0.35">
      <c r="A348" s="1">
        <v>45947.599409722221</v>
      </c>
      <c r="B348" t="s">
        <v>708</v>
      </c>
      <c r="C348" t="s">
        <v>709</v>
      </c>
      <c r="D348" t="s">
        <v>26</v>
      </c>
      <c r="E348">
        <v>1225</v>
      </c>
      <c r="F348">
        <v>14.45</v>
      </c>
      <c r="G348" t="s">
        <v>21</v>
      </c>
      <c r="H348" t="s">
        <v>710</v>
      </c>
      <c r="I348" t="s">
        <v>23</v>
      </c>
      <c r="J348" s="4" t="str">
        <f t="shared" si="5"/>
        <v>HINDZINC</v>
      </c>
    </row>
    <row r="349" spans="1:10" x14ac:dyDescent="0.35">
      <c r="A349" s="1">
        <v>45950.399050925924</v>
      </c>
      <c r="B349" t="s">
        <v>671</v>
      </c>
      <c r="C349" t="s">
        <v>672</v>
      </c>
      <c r="D349" t="s">
        <v>20</v>
      </c>
      <c r="E349">
        <v>675</v>
      </c>
      <c r="F349">
        <v>12.15</v>
      </c>
      <c r="G349" t="s">
        <v>21</v>
      </c>
      <c r="H349" t="s">
        <v>711</v>
      </c>
      <c r="I349" t="s">
        <v>23</v>
      </c>
      <c r="J349" s="4" t="str">
        <f t="shared" si="5"/>
        <v>ADANIENSOL</v>
      </c>
    </row>
    <row r="350" spans="1:10" x14ac:dyDescent="0.35">
      <c r="A350" s="1">
        <v>45950.469027777777</v>
      </c>
      <c r="B350" t="s">
        <v>684</v>
      </c>
      <c r="C350" t="s">
        <v>685</v>
      </c>
      <c r="D350" t="s">
        <v>20</v>
      </c>
      <c r="E350">
        <v>625</v>
      </c>
      <c r="F350">
        <v>31.4</v>
      </c>
      <c r="G350" t="s">
        <v>21</v>
      </c>
      <c r="H350" t="s">
        <v>712</v>
      </c>
      <c r="I350" t="s">
        <v>23</v>
      </c>
      <c r="J350" s="4" t="str">
        <f t="shared" si="5"/>
        <v>AXISBANK</v>
      </c>
    </row>
    <row r="351" spans="1:10" x14ac:dyDescent="0.35">
      <c r="A351" s="1">
        <v>45950.570439814815</v>
      </c>
      <c r="B351" t="s">
        <v>690</v>
      </c>
      <c r="C351" t="s">
        <v>691</v>
      </c>
      <c r="D351" t="s">
        <v>20</v>
      </c>
      <c r="E351">
        <v>6750</v>
      </c>
      <c r="F351">
        <v>128.74</v>
      </c>
      <c r="G351" t="s">
        <v>21</v>
      </c>
      <c r="H351" t="s">
        <v>713</v>
      </c>
      <c r="I351" t="s">
        <v>23</v>
      </c>
      <c r="J351" s="4" t="str">
        <f t="shared" si="5"/>
        <v>CANBK</v>
      </c>
    </row>
    <row r="352" spans="1:10" x14ac:dyDescent="0.35">
      <c r="A352" s="1">
        <v>45950.572592592594</v>
      </c>
      <c r="B352" t="s">
        <v>649</v>
      </c>
      <c r="C352" t="s">
        <v>650</v>
      </c>
      <c r="D352" t="s">
        <v>20</v>
      </c>
      <c r="E352">
        <v>6750</v>
      </c>
      <c r="F352">
        <v>2.95</v>
      </c>
      <c r="G352" t="s">
        <v>21</v>
      </c>
      <c r="H352" t="s">
        <v>714</v>
      </c>
      <c r="I352" t="s">
        <v>23</v>
      </c>
      <c r="J352" s="4" t="str">
        <f t="shared" si="5"/>
        <v>CANBK</v>
      </c>
    </row>
    <row r="353" spans="1:10" x14ac:dyDescent="0.35">
      <c r="A353" s="1">
        <v>45950.581377314818</v>
      </c>
      <c r="B353" t="s">
        <v>715</v>
      </c>
      <c r="C353" t="s">
        <v>716</v>
      </c>
      <c r="D353" t="s">
        <v>26</v>
      </c>
      <c r="E353">
        <v>700</v>
      </c>
      <c r="F353">
        <v>13.55</v>
      </c>
      <c r="G353" t="s">
        <v>21</v>
      </c>
      <c r="H353" t="s">
        <v>717</v>
      </c>
      <c r="I353" t="s">
        <v>23</v>
      </c>
      <c r="J353" s="4" t="str">
        <f t="shared" si="5"/>
        <v>ICICIBANK</v>
      </c>
    </row>
    <row r="354" spans="1:10" x14ac:dyDescent="0.35">
      <c r="A354" s="1">
        <v>45950.638252314813</v>
      </c>
      <c r="B354" t="s">
        <v>718</v>
      </c>
      <c r="C354" t="s">
        <v>719</v>
      </c>
      <c r="D354" t="s">
        <v>26</v>
      </c>
      <c r="E354">
        <v>100</v>
      </c>
      <c r="F354">
        <v>133.94999999999999</v>
      </c>
      <c r="G354" t="s">
        <v>21</v>
      </c>
      <c r="H354" t="s">
        <v>720</v>
      </c>
      <c r="I354" t="s">
        <v>23</v>
      </c>
      <c r="J354" s="4" t="str">
        <f t="shared" si="5"/>
        <v>KAYNES</v>
      </c>
    </row>
    <row r="355" spans="1:10" x14ac:dyDescent="0.35">
      <c r="A355" s="1">
        <v>45951.592094907406</v>
      </c>
      <c r="B355" t="s">
        <v>705</v>
      </c>
      <c r="C355" t="s">
        <v>706</v>
      </c>
      <c r="D355" t="s">
        <v>20</v>
      </c>
      <c r="E355">
        <v>2850</v>
      </c>
      <c r="F355">
        <v>7</v>
      </c>
      <c r="G355" t="s">
        <v>21</v>
      </c>
      <c r="H355" t="s">
        <v>721</v>
      </c>
      <c r="I355" t="s">
        <v>23</v>
      </c>
      <c r="J355" s="4" t="str">
        <f t="shared" si="5"/>
        <v>BEL</v>
      </c>
    </row>
    <row r="356" spans="1:10" x14ac:dyDescent="0.35">
      <c r="A356" s="1">
        <v>45951.605682870373</v>
      </c>
      <c r="B356" t="s">
        <v>715</v>
      </c>
      <c r="C356" t="s">
        <v>716</v>
      </c>
      <c r="D356" t="s">
        <v>20</v>
      </c>
      <c r="E356">
        <v>700</v>
      </c>
      <c r="F356">
        <v>6.05</v>
      </c>
      <c r="G356" t="s">
        <v>21</v>
      </c>
      <c r="H356" t="s">
        <v>722</v>
      </c>
      <c r="I356" t="s">
        <v>23</v>
      </c>
      <c r="J356" s="4" t="str">
        <f t="shared" si="5"/>
        <v>ICICIBANK</v>
      </c>
    </row>
    <row r="357" spans="1:10" x14ac:dyDescent="0.35">
      <c r="A357" s="1">
        <v>45951.611284722225</v>
      </c>
      <c r="B357" t="s">
        <v>718</v>
      </c>
      <c r="C357" t="s">
        <v>719</v>
      </c>
      <c r="D357" t="s">
        <v>20</v>
      </c>
      <c r="E357">
        <v>100</v>
      </c>
      <c r="F357">
        <v>103.05</v>
      </c>
      <c r="G357" t="s">
        <v>21</v>
      </c>
      <c r="H357" t="s">
        <v>723</v>
      </c>
      <c r="I357" t="s">
        <v>23</v>
      </c>
      <c r="J357" s="4" t="str">
        <f t="shared" si="5"/>
        <v>KAYNES</v>
      </c>
    </row>
    <row r="358" spans="1:10" x14ac:dyDescent="0.35">
      <c r="A358" s="1">
        <v>45953.396157407406</v>
      </c>
      <c r="B358" t="s">
        <v>724</v>
      </c>
      <c r="C358" t="s">
        <v>725</v>
      </c>
      <c r="D358" t="s">
        <v>26</v>
      </c>
      <c r="E358">
        <v>75</v>
      </c>
      <c r="F358">
        <v>184</v>
      </c>
      <c r="G358" t="s">
        <v>21</v>
      </c>
      <c r="H358" t="s">
        <v>726</v>
      </c>
      <c r="I358" t="s">
        <v>23</v>
      </c>
      <c r="J358" s="4" t="str">
        <f t="shared" si="5"/>
        <v>NIFTY</v>
      </c>
    </row>
    <row r="359" spans="1:10" x14ac:dyDescent="0.35">
      <c r="A359" s="1">
        <v>45953.429583333331</v>
      </c>
      <c r="B359" t="s">
        <v>649</v>
      </c>
      <c r="C359" t="s">
        <v>650</v>
      </c>
      <c r="D359" t="s">
        <v>26</v>
      </c>
      <c r="E359">
        <v>6750</v>
      </c>
      <c r="F359">
        <v>1.85</v>
      </c>
      <c r="G359" t="s">
        <v>21</v>
      </c>
      <c r="H359" t="s">
        <v>727</v>
      </c>
      <c r="I359" t="s">
        <v>23</v>
      </c>
      <c r="J359" s="4" t="str">
        <f t="shared" si="5"/>
        <v>CANBK</v>
      </c>
    </row>
    <row r="360" spans="1:10" x14ac:dyDescent="0.35">
      <c r="A360" s="1">
        <v>45953.52820601852</v>
      </c>
      <c r="B360" t="s">
        <v>724</v>
      </c>
      <c r="C360" t="s">
        <v>725</v>
      </c>
      <c r="D360" t="s">
        <v>20</v>
      </c>
      <c r="E360">
        <v>75</v>
      </c>
      <c r="F360">
        <v>188.5</v>
      </c>
      <c r="G360" t="s">
        <v>21</v>
      </c>
      <c r="H360" t="s">
        <v>728</v>
      </c>
      <c r="I360" t="s">
        <v>23</v>
      </c>
      <c r="J360" s="4" t="str">
        <f t="shared" si="5"/>
        <v>NIFTY</v>
      </c>
    </row>
    <row r="361" spans="1:10" x14ac:dyDescent="0.35">
      <c r="A361" s="1">
        <v>45953.5469212963</v>
      </c>
      <c r="B361" t="s">
        <v>729</v>
      </c>
      <c r="C361" t="s">
        <v>730</v>
      </c>
      <c r="D361" t="s">
        <v>26</v>
      </c>
      <c r="E361">
        <v>75</v>
      </c>
      <c r="F361">
        <v>177.8</v>
      </c>
      <c r="G361" t="s">
        <v>21</v>
      </c>
      <c r="H361" t="s">
        <v>731</v>
      </c>
      <c r="I361" t="s">
        <v>23</v>
      </c>
      <c r="J361" s="4" t="str">
        <f t="shared" si="5"/>
        <v>NIFTY</v>
      </c>
    </row>
    <row r="362" spans="1:10" x14ac:dyDescent="0.35">
      <c r="A362" s="1">
        <v>45953.548854166664</v>
      </c>
      <c r="B362" t="s">
        <v>732</v>
      </c>
      <c r="C362" t="s">
        <v>733</v>
      </c>
      <c r="D362" t="s">
        <v>26</v>
      </c>
      <c r="E362">
        <v>75</v>
      </c>
      <c r="F362">
        <v>264.2</v>
      </c>
      <c r="G362" t="s">
        <v>21</v>
      </c>
      <c r="H362" t="s">
        <v>734</v>
      </c>
      <c r="I362" t="s">
        <v>23</v>
      </c>
      <c r="J362" s="4" t="str">
        <f t="shared" si="5"/>
        <v>NIFTY</v>
      </c>
    </row>
    <row r="363" spans="1:10" x14ac:dyDescent="0.35">
      <c r="A363" s="1">
        <v>45953.568495370368</v>
      </c>
      <c r="B363" t="s">
        <v>506</v>
      </c>
      <c r="C363" t="s">
        <v>507</v>
      </c>
      <c r="D363" t="s">
        <v>26</v>
      </c>
      <c r="E363">
        <v>75</v>
      </c>
      <c r="F363">
        <v>166.9</v>
      </c>
      <c r="G363" t="s">
        <v>21</v>
      </c>
      <c r="H363" t="s">
        <v>735</v>
      </c>
      <c r="I363" t="s">
        <v>23</v>
      </c>
      <c r="J363" s="4" t="str">
        <f t="shared" si="5"/>
        <v>NIFTY</v>
      </c>
    </row>
    <row r="364" spans="1:10" x14ac:dyDescent="0.35">
      <c r="A364" s="1">
        <v>45953.599421296298</v>
      </c>
      <c r="B364" t="s">
        <v>649</v>
      </c>
      <c r="C364" t="s">
        <v>650</v>
      </c>
      <c r="D364" t="s">
        <v>20</v>
      </c>
      <c r="E364">
        <v>6750</v>
      </c>
      <c r="F364">
        <v>1.35</v>
      </c>
      <c r="G364" t="s">
        <v>21</v>
      </c>
      <c r="H364" t="s">
        <v>736</v>
      </c>
      <c r="I364" t="s">
        <v>23</v>
      </c>
      <c r="J364" s="4" t="str">
        <f t="shared" si="5"/>
        <v>CANBK</v>
      </c>
    </row>
    <row r="365" spans="1:10" x14ac:dyDescent="0.35">
      <c r="A365" s="1">
        <v>45953.630740740744</v>
      </c>
      <c r="B365" t="s">
        <v>729</v>
      </c>
      <c r="C365" t="s">
        <v>730</v>
      </c>
      <c r="D365" t="s">
        <v>20</v>
      </c>
      <c r="E365">
        <v>75</v>
      </c>
      <c r="F365">
        <v>114</v>
      </c>
      <c r="G365" t="s">
        <v>21</v>
      </c>
      <c r="H365" t="s">
        <v>737</v>
      </c>
      <c r="I365" t="s">
        <v>23</v>
      </c>
      <c r="J365" s="4" t="str">
        <f t="shared" si="5"/>
        <v>NIFTY</v>
      </c>
    </row>
    <row r="366" spans="1:10" x14ac:dyDescent="0.35">
      <c r="A366" s="1">
        <v>45953.633206018516</v>
      </c>
      <c r="B366" t="s">
        <v>506</v>
      </c>
      <c r="C366" t="s">
        <v>507</v>
      </c>
      <c r="D366" t="s">
        <v>20</v>
      </c>
      <c r="E366">
        <v>75</v>
      </c>
      <c r="F366">
        <v>90</v>
      </c>
      <c r="G366" t="s">
        <v>21</v>
      </c>
      <c r="H366" t="s">
        <v>738</v>
      </c>
      <c r="I366" t="s">
        <v>23</v>
      </c>
      <c r="J366" s="4" t="str">
        <f t="shared" si="5"/>
        <v>NIFTY</v>
      </c>
    </row>
    <row r="367" spans="1:10" x14ac:dyDescent="0.35">
      <c r="A367" s="1">
        <v>45954.385416666664</v>
      </c>
      <c r="B367" t="s">
        <v>732</v>
      </c>
      <c r="C367" t="s">
        <v>733</v>
      </c>
      <c r="D367" t="s">
        <v>20</v>
      </c>
      <c r="E367">
        <v>75</v>
      </c>
      <c r="F367">
        <v>171.3</v>
      </c>
      <c r="G367" t="s">
        <v>21</v>
      </c>
      <c r="H367" t="s">
        <v>739</v>
      </c>
      <c r="I367" t="s">
        <v>23</v>
      </c>
      <c r="J367" s="4" t="str">
        <f t="shared" si="5"/>
        <v>NIFTY</v>
      </c>
    </row>
    <row r="368" spans="1:10" x14ac:dyDescent="0.35">
      <c r="A368" s="1">
        <v>45954.607673611114</v>
      </c>
      <c r="B368" t="s">
        <v>700</v>
      </c>
      <c r="C368" t="s">
        <v>701</v>
      </c>
      <c r="D368" t="s">
        <v>20</v>
      </c>
      <c r="E368">
        <v>3000</v>
      </c>
      <c r="F368">
        <v>0.25</v>
      </c>
      <c r="G368" t="s">
        <v>21</v>
      </c>
      <c r="H368" t="s">
        <v>740</v>
      </c>
      <c r="I368" t="s">
        <v>23</v>
      </c>
      <c r="J368" s="4" t="str">
        <f t="shared" si="5"/>
        <v>MANAPPURAM</v>
      </c>
    </row>
    <row r="369" spans="1:10" x14ac:dyDescent="0.35">
      <c r="A369" s="1">
        <v>45954.607719907406</v>
      </c>
      <c r="B369" t="s">
        <v>708</v>
      </c>
      <c r="C369" t="s">
        <v>709</v>
      </c>
      <c r="D369" t="s">
        <v>20</v>
      </c>
      <c r="E369">
        <v>1225</v>
      </c>
      <c r="F369">
        <v>1.6</v>
      </c>
      <c r="G369" t="s">
        <v>21</v>
      </c>
      <c r="H369" t="s">
        <v>741</v>
      </c>
      <c r="I369" t="s">
        <v>23</v>
      </c>
      <c r="J369" s="4" t="str">
        <f t="shared" si="5"/>
        <v>HINDZINC</v>
      </c>
    </row>
    <row r="370" spans="1:10" x14ac:dyDescent="0.35">
      <c r="A370" s="1">
        <v>45954.607766203706</v>
      </c>
      <c r="B370" t="s">
        <v>693</v>
      </c>
      <c r="C370" t="s">
        <v>694</v>
      </c>
      <c r="D370" t="s">
        <v>20</v>
      </c>
      <c r="E370">
        <v>150</v>
      </c>
      <c r="F370">
        <v>3</v>
      </c>
      <c r="G370" t="s">
        <v>21</v>
      </c>
      <c r="H370" t="s">
        <v>742</v>
      </c>
      <c r="I370" t="s">
        <v>23</v>
      </c>
      <c r="J370" s="4" t="str">
        <f t="shared" si="5"/>
        <v>HDFCAMC</v>
      </c>
    </row>
    <row r="371" spans="1:10" x14ac:dyDescent="0.35">
      <c r="A371" s="1">
        <v>45954.607881944445</v>
      </c>
      <c r="B371" t="s">
        <v>661</v>
      </c>
      <c r="C371" t="s">
        <v>662</v>
      </c>
      <c r="D371" t="s">
        <v>20</v>
      </c>
      <c r="E371">
        <v>725</v>
      </c>
      <c r="F371">
        <v>0.4</v>
      </c>
      <c r="G371" t="s">
        <v>21</v>
      </c>
      <c r="H371" t="s">
        <v>743</v>
      </c>
      <c r="I371" t="s">
        <v>23</v>
      </c>
      <c r="J371" s="4" t="str">
        <f t="shared" si="5"/>
        <v>TITAGARH</v>
      </c>
    </row>
    <row r="372" spans="1:10" x14ac:dyDescent="0.35">
      <c r="A372" s="1">
        <v>45957.412557870368</v>
      </c>
      <c r="B372" t="s">
        <v>687</v>
      </c>
      <c r="C372" t="s">
        <v>688</v>
      </c>
      <c r="D372" t="s">
        <v>20</v>
      </c>
      <c r="E372">
        <v>100</v>
      </c>
      <c r="F372">
        <v>6659.5</v>
      </c>
      <c r="G372" t="s">
        <v>21</v>
      </c>
      <c r="H372" t="s">
        <v>744</v>
      </c>
      <c r="I372" t="s">
        <v>23</v>
      </c>
      <c r="J372" s="4" t="str">
        <f t="shared" si="5"/>
        <v>KAYNES</v>
      </c>
    </row>
    <row r="373" spans="1:10" x14ac:dyDescent="0.35">
      <c r="A373" s="1">
        <v>45960.387754629628</v>
      </c>
      <c r="B373" t="s">
        <v>745</v>
      </c>
      <c r="C373" t="s">
        <v>746</v>
      </c>
      <c r="D373" t="s">
        <v>26</v>
      </c>
      <c r="E373">
        <v>350</v>
      </c>
      <c r="F373">
        <v>1773</v>
      </c>
      <c r="G373" t="s">
        <v>21</v>
      </c>
      <c r="H373" t="s">
        <v>747</v>
      </c>
      <c r="I373" t="s">
        <v>23</v>
      </c>
      <c r="J373" s="4" t="str">
        <f t="shared" si="5"/>
        <v>APLAPOLLO</v>
      </c>
    </row>
    <row r="374" spans="1:10" x14ac:dyDescent="0.35">
      <c r="A374" s="1">
        <v>45960.419039351851</v>
      </c>
      <c r="B374" t="s">
        <v>748</v>
      </c>
      <c r="C374" t="s">
        <v>749</v>
      </c>
      <c r="D374" t="s">
        <v>26</v>
      </c>
      <c r="E374">
        <v>375</v>
      </c>
      <c r="F374">
        <v>47.55</v>
      </c>
      <c r="G374" t="s">
        <v>21</v>
      </c>
      <c r="H374" t="s">
        <v>750</v>
      </c>
      <c r="I374" t="s">
        <v>23</v>
      </c>
      <c r="J374" s="4" t="str">
        <f t="shared" si="5"/>
        <v>CIPLA</v>
      </c>
    </row>
    <row r="375" spans="1:10" x14ac:dyDescent="0.35">
      <c r="A375" s="1">
        <v>45960.43209490741</v>
      </c>
      <c r="B375" t="s">
        <v>751</v>
      </c>
      <c r="C375" t="s">
        <v>752</v>
      </c>
      <c r="D375" t="s">
        <v>26</v>
      </c>
      <c r="E375">
        <v>600</v>
      </c>
      <c r="F375">
        <v>49.15</v>
      </c>
      <c r="G375" t="s">
        <v>21</v>
      </c>
      <c r="H375" t="s">
        <v>753</v>
      </c>
      <c r="I375" t="s">
        <v>23</v>
      </c>
      <c r="J375" s="4" t="str">
        <f t="shared" si="5"/>
        <v>ADANIGREEN</v>
      </c>
    </row>
    <row r="376" spans="1:10" x14ac:dyDescent="0.35">
      <c r="A376" s="1">
        <v>45960.506307870368</v>
      </c>
      <c r="B376" t="s">
        <v>748</v>
      </c>
      <c r="C376" t="s">
        <v>749</v>
      </c>
      <c r="D376" t="s">
        <v>20</v>
      </c>
      <c r="E376">
        <v>375</v>
      </c>
      <c r="F376">
        <v>50.45</v>
      </c>
      <c r="G376" t="s">
        <v>21</v>
      </c>
      <c r="H376" t="s">
        <v>754</v>
      </c>
      <c r="I376" t="s">
        <v>23</v>
      </c>
      <c r="J376" s="4" t="str">
        <f t="shared" si="5"/>
        <v>CIPLA</v>
      </c>
    </row>
    <row r="377" spans="1:10" x14ac:dyDescent="0.35">
      <c r="A377" s="1">
        <v>45960.537407407406</v>
      </c>
      <c r="B377" t="s">
        <v>755</v>
      </c>
      <c r="C377" t="s">
        <v>756</v>
      </c>
      <c r="D377" t="s">
        <v>26</v>
      </c>
      <c r="E377">
        <v>375</v>
      </c>
      <c r="F377">
        <v>1579.6</v>
      </c>
      <c r="G377" t="s">
        <v>21</v>
      </c>
      <c r="H377" t="s">
        <v>757</v>
      </c>
      <c r="I377" t="s">
        <v>23</v>
      </c>
      <c r="J377" s="4" t="str">
        <f t="shared" si="5"/>
        <v>CIPLA</v>
      </c>
    </row>
    <row r="378" spans="1:10" x14ac:dyDescent="0.35">
      <c r="A378" s="1">
        <v>45960.585196759261</v>
      </c>
      <c r="B378" t="s">
        <v>758</v>
      </c>
      <c r="C378" t="s">
        <v>759</v>
      </c>
      <c r="D378" t="s">
        <v>26</v>
      </c>
      <c r="E378">
        <v>375</v>
      </c>
      <c r="F378">
        <v>41.35</v>
      </c>
      <c r="G378" t="s">
        <v>21</v>
      </c>
      <c r="H378" t="s">
        <v>760</v>
      </c>
      <c r="I378" t="s">
        <v>23</v>
      </c>
      <c r="J378" s="4" t="str">
        <f t="shared" si="5"/>
        <v>CIPLA</v>
      </c>
    </row>
    <row r="379" spans="1:10" x14ac:dyDescent="0.35">
      <c r="A379" s="1">
        <v>45960.638159722221</v>
      </c>
      <c r="B379" t="s">
        <v>751</v>
      </c>
      <c r="C379" t="s">
        <v>752</v>
      </c>
      <c r="D379" t="s">
        <v>20</v>
      </c>
      <c r="E379">
        <v>600</v>
      </c>
      <c r="F379">
        <v>76</v>
      </c>
      <c r="G379" t="s">
        <v>21</v>
      </c>
      <c r="H379" t="s">
        <v>761</v>
      </c>
      <c r="I379" t="s">
        <v>23</v>
      </c>
      <c r="J379" s="4" t="str">
        <f t="shared" si="5"/>
        <v>ADANIGREEN</v>
      </c>
    </row>
    <row r="380" spans="1:10" x14ac:dyDescent="0.35">
      <c r="A380" s="1">
        <v>45960.645810185182</v>
      </c>
      <c r="B380" t="s">
        <v>745</v>
      </c>
      <c r="C380" t="s">
        <v>746</v>
      </c>
      <c r="D380" t="s">
        <v>20</v>
      </c>
      <c r="E380">
        <v>350</v>
      </c>
      <c r="F380">
        <v>1790.1</v>
      </c>
      <c r="G380" t="s">
        <v>21</v>
      </c>
      <c r="H380" t="s">
        <v>762</v>
      </c>
      <c r="I380" t="s">
        <v>23</v>
      </c>
      <c r="J380" s="4" t="str">
        <f t="shared" si="5"/>
        <v>APLAPOLLO</v>
      </c>
    </row>
    <row r="381" spans="1:10" x14ac:dyDescent="0.35">
      <c r="A381" s="1">
        <v>45961.392569444448</v>
      </c>
      <c r="B381" t="s">
        <v>763</v>
      </c>
      <c r="C381" t="s">
        <v>764</v>
      </c>
      <c r="D381" t="s">
        <v>26</v>
      </c>
      <c r="E381">
        <v>1900</v>
      </c>
      <c r="F381">
        <v>6.1</v>
      </c>
      <c r="G381" t="s">
        <v>21</v>
      </c>
      <c r="H381" t="s">
        <v>765</v>
      </c>
      <c r="I381" t="s">
        <v>23</v>
      </c>
      <c r="J381" s="4" t="str">
        <f t="shared" si="5"/>
        <v>POWERGRID</v>
      </c>
    </row>
    <row r="382" spans="1:10" x14ac:dyDescent="0.35">
      <c r="A382" s="1">
        <v>45961.397349537037</v>
      </c>
      <c r="B382" t="s">
        <v>766</v>
      </c>
      <c r="C382" t="s">
        <v>767</v>
      </c>
      <c r="D382" t="s">
        <v>26</v>
      </c>
      <c r="E382">
        <v>600</v>
      </c>
      <c r="F382">
        <v>47.2</v>
      </c>
      <c r="G382" t="s">
        <v>21</v>
      </c>
      <c r="H382" t="s">
        <v>768</v>
      </c>
      <c r="I382" t="s">
        <v>23</v>
      </c>
      <c r="J382" s="4" t="str">
        <f t="shared" si="5"/>
        <v>ADANIGREEN</v>
      </c>
    </row>
    <row r="383" spans="1:10" x14ac:dyDescent="0.35">
      <c r="A383" s="1">
        <v>45961.398101851853</v>
      </c>
      <c r="B383" t="s">
        <v>769</v>
      </c>
      <c r="C383" t="s">
        <v>770</v>
      </c>
      <c r="D383" t="s">
        <v>26</v>
      </c>
      <c r="E383">
        <v>9275</v>
      </c>
      <c r="F383">
        <v>80.87</v>
      </c>
      <c r="G383" t="s">
        <v>21</v>
      </c>
      <c r="H383" t="s">
        <v>771</v>
      </c>
      <c r="I383" t="s">
        <v>23</v>
      </c>
      <c r="J383" s="4" t="str">
        <f t="shared" si="5"/>
        <v>IDFCFIRSTB</v>
      </c>
    </row>
    <row r="384" spans="1:10" x14ac:dyDescent="0.35">
      <c r="A384" s="1">
        <v>45961.446087962962</v>
      </c>
      <c r="B384" t="s">
        <v>772</v>
      </c>
      <c r="C384" t="s">
        <v>773</v>
      </c>
      <c r="D384" t="s">
        <v>26</v>
      </c>
      <c r="E384">
        <v>400</v>
      </c>
      <c r="F384">
        <v>1461.9</v>
      </c>
      <c r="G384" t="s">
        <v>21</v>
      </c>
      <c r="H384" t="s">
        <v>774</v>
      </c>
      <c r="I384" t="s">
        <v>23</v>
      </c>
      <c r="J384" s="4" t="str">
        <f t="shared" si="5"/>
        <v>UNITDSPR</v>
      </c>
    </row>
    <row r="385" spans="1:10" x14ac:dyDescent="0.35">
      <c r="A385" s="1">
        <v>45961.484803240739</v>
      </c>
      <c r="B385" t="s">
        <v>769</v>
      </c>
      <c r="C385" t="s">
        <v>770</v>
      </c>
      <c r="D385" t="s">
        <v>20</v>
      </c>
      <c r="E385">
        <v>9275</v>
      </c>
      <c r="F385">
        <v>81.96</v>
      </c>
      <c r="G385" t="s">
        <v>21</v>
      </c>
      <c r="H385" t="s">
        <v>775</v>
      </c>
      <c r="I385" t="s">
        <v>23</v>
      </c>
      <c r="J385" s="4" t="str">
        <f t="shared" si="5"/>
        <v>IDFCFIRSTB</v>
      </c>
    </row>
    <row r="386" spans="1:10" x14ac:dyDescent="0.35">
      <c r="A386" s="1">
        <v>45961.553159722222</v>
      </c>
      <c r="B386" t="s">
        <v>776</v>
      </c>
      <c r="C386" t="s">
        <v>777</v>
      </c>
      <c r="D386" t="s">
        <v>26</v>
      </c>
      <c r="E386">
        <v>50</v>
      </c>
      <c r="F386">
        <v>12094</v>
      </c>
      <c r="G386" t="s">
        <v>21</v>
      </c>
      <c r="H386" t="s">
        <v>778</v>
      </c>
      <c r="I386" t="s">
        <v>23</v>
      </c>
      <c r="J386" s="4" t="str">
        <f t="shared" si="5"/>
        <v>ULTRACEMCO</v>
      </c>
    </row>
    <row r="387" spans="1:10" x14ac:dyDescent="0.35">
      <c r="A387" s="1">
        <v>45961.644930555558</v>
      </c>
      <c r="B387" t="s">
        <v>779</v>
      </c>
      <c r="C387" t="s">
        <v>780</v>
      </c>
      <c r="D387" t="s">
        <v>26</v>
      </c>
      <c r="E387">
        <v>3175</v>
      </c>
      <c r="F387">
        <v>11</v>
      </c>
      <c r="G387" t="s">
        <v>21</v>
      </c>
      <c r="H387" t="s">
        <v>781</v>
      </c>
      <c r="I387" t="s">
        <v>23</v>
      </c>
      <c r="J387" s="4" t="str">
        <f t="shared" si="5"/>
        <v>RBLBANK</v>
      </c>
    </row>
    <row r="388" spans="1:10" x14ac:dyDescent="0.35">
      <c r="A388" s="1">
        <v>45964.392731481479</v>
      </c>
      <c r="B388" t="s">
        <v>782</v>
      </c>
      <c r="C388" t="s">
        <v>783</v>
      </c>
      <c r="D388" t="s">
        <v>26</v>
      </c>
      <c r="E388">
        <v>5500</v>
      </c>
      <c r="F388">
        <v>5.46</v>
      </c>
      <c r="G388" t="s">
        <v>21</v>
      </c>
      <c r="H388" t="s">
        <v>784</v>
      </c>
      <c r="I388" t="s">
        <v>23</v>
      </c>
      <c r="J388" s="4" t="str">
        <f t="shared" si="5"/>
        <v>TATASTEEL</v>
      </c>
    </row>
    <row r="389" spans="1:10" x14ac:dyDescent="0.35">
      <c r="A389" s="1">
        <v>45964.487835648149</v>
      </c>
      <c r="B389" t="s">
        <v>782</v>
      </c>
      <c r="C389" t="s">
        <v>783</v>
      </c>
      <c r="D389" t="s">
        <v>20</v>
      </c>
      <c r="E389">
        <v>5500</v>
      </c>
      <c r="F389">
        <v>5.72</v>
      </c>
      <c r="G389" t="s">
        <v>21</v>
      </c>
      <c r="H389" t="s">
        <v>785</v>
      </c>
      <c r="I389" t="s">
        <v>23</v>
      </c>
      <c r="J389" s="4" t="str">
        <f t="shared" si="5"/>
        <v>TATASTEEL</v>
      </c>
    </row>
    <row r="390" spans="1:10" x14ac:dyDescent="0.35">
      <c r="A390" s="1">
        <v>45964.518263888887</v>
      </c>
      <c r="B390" t="s">
        <v>786</v>
      </c>
      <c r="C390" t="s">
        <v>787</v>
      </c>
      <c r="D390" t="s">
        <v>26</v>
      </c>
      <c r="E390">
        <v>9275</v>
      </c>
      <c r="F390">
        <v>2.46</v>
      </c>
      <c r="G390" t="s">
        <v>21</v>
      </c>
      <c r="H390" t="s">
        <v>788</v>
      </c>
      <c r="I390" t="s">
        <v>23</v>
      </c>
      <c r="J390" s="4" t="str">
        <f t="shared" si="5"/>
        <v>IDFCFIRSTB</v>
      </c>
    </row>
    <row r="391" spans="1:10" x14ac:dyDescent="0.35">
      <c r="A391" s="1">
        <v>45964.601840277777</v>
      </c>
      <c r="B391" t="s">
        <v>779</v>
      </c>
      <c r="C391" t="s">
        <v>780</v>
      </c>
      <c r="D391" t="s">
        <v>20</v>
      </c>
      <c r="E391">
        <v>3175</v>
      </c>
      <c r="F391">
        <v>12.6</v>
      </c>
      <c r="G391" t="s">
        <v>21</v>
      </c>
      <c r="H391" t="s">
        <v>789</v>
      </c>
      <c r="I391" t="s">
        <v>23</v>
      </c>
      <c r="J391" s="4" t="str">
        <f t="shared" si="5"/>
        <v>RBLBANK</v>
      </c>
    </row>
    <row r="392" spans="1:10" x14ac:dyDescent="0.35">
      <c r="A392" s="1">
        <v>45965.394965277781</v>
      </c>
      <c r="B392" t="s">
        <v>790</v>
      </c>
      <c r="C392" t="s">
        <v>791</v>
      </c>
      <c r="D392" t="s">
        <v>26</v>
      </c>
      <c r="E392">
        <v>475</v>
      </c>
      <c r="F392">
        <v>47.8</v>
      </c>
      <c r="G392" t="s">
        <v>21</v>
      </c>
      <c r="H392" t="s">
        <v>792</v>
      </c>
      <c r="I392" t="s">
        <v>23</v>
      </c>
      <c r="J392" s="4" t="str">
        <f t="shared" si="5"/>
        <v>BHARTIARTL</v>
      </c>
    </row>
    <row r="393" spans="1:10" x14ac:dyDescent="0.35">
      <c r="A393" s="1">
        <v>45965.408009259256</v>
      </c>
      <c r="B393" t="s">
        <v>793</v>
      </c>
      <c r="C393" t="s">
        <v>794</v>
      </c>
      <c r="D393" t="s">
        <v>26</v>
      </c>
      <c r="E393">
        <v>2075</v>
      </c>
      <c r="F393">
        <v>16.7</v>
      </c>
      <c r="G393" t="s">
        <v>21</v>
      </c>
      <c r="H393" t="s">
        <v>795</v>
      </c>
      <c r="I393" t="s">
        <v>23</v>
      </c>
      <c r="J393" s="4" t="str">
        <f t="shared" ref="J393:J456" si="6">LEFT(B393,FIND(" ",B393)-1)</f>
        <v>DELHIVERY</v>
      </c>
    </row>
    <row r="394" spans="1:10" x14ac:dyDescent="0.35">
      <c r="A394" s="1">
        <v>45965.443541666667</v>
      </c>
      <c r="B394" t="s">
        <v>793</v>
      </c>
      <c r="C394" t="s">
        <v>794</v>
      </c>
      <c r="D394" t="s">
        <v>20</v>
      </c>
      <c r="E394">
        <v>2075</v>
      </c>
      <c r="F394">
        <v>21.5</v>
      </c>
      <c r="G394" t="s">
        <v>21</v>
      </c>
      <c r="H394" t="s">
        <v>796</v>
      </c>
      <c r="I394" t="s">
        <v>23</v>
      </c>
      <c r="J394" s="4" t="str">
        <f t="shared" si="6"/>
        <v>DELHIVERY</v>
      </c>
    </row>
    <row r="395" spans="1:10" x14ac:dyDescent="0.35">
      <c r="A395" s="1">
        <v>45965.513460648152</v>
      </c>
      <c r="B395" t="s">
        <v>797</v>
      </c>
      <c r="C395" t="s">
        <v>798</v>
      </c>
      <c r="D395" t="s">
        <v>26</v>
      </c>
      <c r="E395">
        <v>1425</v>
      </c>
      <c r="F395">
        <v>12.25</v>
      </c>
      <c r="G395" t="s">
        <v>21</v>
      </c>
      <c r="H395" t="s">
        <v>799</v>
      </c>
      <c r="I395" t="s">
        <v>23</v>
      </c>
      <c r="J395" s="4" t="str">
        <f t="shared" si="6"/>
        <v>BEL</v>
      </c>
    </row>
    <row r="396" spans="1:10" x14ac:dyDescent="0.35">
      <c r="A396" s="1">
        <v>45965.576990740738</v>
      </c>
      <c r="B396" t="s">
        <v>797</v>
      </c>
      <c r="C396" t="s">
        <v>798</v>
      </c>
      <c r="D396" t="s">
        <v>20</v>
      </c>
      <c r="E396">
        <v>1425</v>
      </c>
      <c r="F396">
        <v>11.45</v>
      </c>
      <c r="G396" t="s">
        <v>21</v>
      </c>
      <c r="H396" t="s">
        <v>800</v>
      </c>
      <c r="I396" t="s">
        <v>23</v>
      </c>
      <c r="J396" s="4" t="str">
        <f t="shared" si="6"/>
        <v>BEL</v>
      </c>
    </row>
    <row r="397" spans="1:10" x14ac:dyDescent="0.35">
      <c r="A397" s="1">
        <v>45965.645694444444</v>
      </c>
      <c r="B397" t="s">
        <v>801</v>
      </c>
      <c r="C397" t="s">
        <v>802</v>
      </c>
      <c r="D397" t="s">
        <v>26</v>
      </c>
      <c r="E397">
        <v>75</v>
      </c>
      <c r="F397">
        <v>63.75</v>
      </c>
      <c r="G397" t="s">
        <v>21</v>
      </c>
      <c r="H397" t="s">
        <v>803</v>
      </c>
      <c r="I397" t="s">
        <v>23</v>
      </c>
      <c r="J397" s="4" t="str">
        <f t="shared" si="6"/>
        <v>NIFTY</v>
      </c>
    </row>
    <row r="398" spans="1:10" x14ac:dyDescent="0.35">
      <c r="A398" s="1">
        <v>45967.40452546296</v>
      </c>
      <c r="B398" t="s">
        <v>804</v>
      </c>
      <c r="C398" t="s">
        <v>805</v>
      </c>
      <c r="D398" t="s">
        <v>26</v>
      </c>
      <c r="E398">
        <v>125</v>
      </c>
      <c r="F398">
        <v>128.5</v>
      </c>
      <c r="G398" t="s">
        <v>21</v>
      </c>
      <c r="H398" t="s">
        <v>806</v>
      </c>
      <c r="I398" t="s">
        <v>23</v>
      </c>
      <c r="J398" s="4" t="str">
        <f t="shared" si="6"/>
        <v>BRITANNIA</v>
      </c>
    </row>
    <row r="399" spans="1:10" x14ac:dyDescent="0.35">
      <c r="A399" s="1">
        <v>45967.450115740743</v>
      </c>
      <c r="B399" t="s">
        <v>801</v>
      </c>
      <c r="C399" t="s">
        <v>802</v>
      </c>
      <c r="D399" t="s">
        <v>20</v>
      </c>
      <c r="E399">
        <v>75</v>
      </c>
      <c r="F399">
        <v>55.55</v>
      </c>
      <c r="G399" t="s">
        <v>21</v>
      </c>
      <c r="H399" t="s">
        <v>807</v>
      </c>
      <c r="I399" t="s">
        <v>23</v>
      </c>
      <c r="J399" s="4" t="str">
        <f t="shared" si="6"/>
        <v>NIFTY</v>
      </c>
    </row>
    <row r="400" spans="1:10" x14ac:dyDescent="0.35">
      <c r="A400" s="1">
        <v>45968.536863425928</v>
      </c>
      <c r="B400" t="s">
        <v>804</v>
      </c>
      <c r="C400" t="s">
        <v>805</v>
      </c>
      <c r="D400" t="s">
        <v>20</v>
      </c>
      <c r="E400">
        <v>125</v>
      </c>
      <c r="F400">
        <v>144.94999999999999</v>
      </c>
      <c r="G400" t="s">
        <v>21</v>
      </c>
      <c r="H400" t="s">
        <v>808</v>
      </c>
      <c r="I400" t="s">
        <v>23</v>
      </c>
      <c r="J400" s="4" t="str">
        <f t="shared" si="6"/>
        <v>BRITANNIA</v>
      </c>
    </row>
    <row r="401" spans="1:10" x14ac:dyDescent="0.35">
      <c r="A401" s="1">
        <v>45968.601666666669</v>
      </c>
      <c r="B401" t="s">
        <v>809</v>
      </c>
      <c r="C401" t="s">
        <v>810</v>
      </c>
      <c r="D401" t="s">
        <v>26</v>
      </c>
      <c r="E401">
        <v>75</v>
      </c>
      <c r="F401">
        <v>85.5</v>
      </c>
      <c r="G401" t="s">
        <v>21</v>
      </c>
      <c r="H401" t="s">
        <v>811</v>
      </c>
      <c r="I401" t="s">
        <v>23</v>
      </c>
      <c r="J401" s="4" t="str">
        <f t="shared" si="6"/>
        <v>NIFTY</v>
      </c>
    </row>
    <row r="402" spans="1:10" x14ac:dyDescent="0.35">
      <c r="A402" s="1">
        <v>45971.572777777779</v>
      </c>
      <c r="B402" t="s">
        <v>809</v>
      </c>
      <c r="C402" t="s">
        <v>810</v>
      </c>
      <c r="D402" t="s">
        <v>20</v>
      </c>
      <c r="E402">
        <v>75</v>
      </c>
      <c r="F402">
        <v>100.05</v>
      </c>
      <c r="G402" t="s">
        <v>21</v>
      </c>
      <c r="H402" t="s">
        <v>812</v>
      </c>
      <c r="I402" t="s">
        <v>23</v>
      </c>
      <c r="J402" s="4" t="str">
        <f t="shared" si="6"/>
        <v>NIFTY</v>
      </c>
    </row>
    <row r="403" spans="1:10" x14ac:dyDescent="0.35">
      <c r="A403" s="1">
        <v>45979.570092592592</v>
      </c>
      <c r="B403" t="s">
        <v>790</v>
      </c>
      <c r="C403" t="s">
        <v>791</v>
      </c>
      <c r="D403" t="s">
        <v>20</v>
      </c>
      <c r="E403">
        <v>475</v>
      </c>
      <c r="F403">
        <v>42.05</v>
      </c>
      <c r="G403" t="s">
        <v>21</v>
      </c>
      <c r="H403" t="s">
        <v>813</v>
      </c>
      <c r="I403" t="s">
        <v>23</v>
      </c>
      <c r="J403" s="4" t="str">
        <f t="shared" si="6"/>
        <v>BHARTIARTL</v>
      </c>
    </row>
    <row r="404" spans="1:10" x14ac:dyDescent="0.35">
      <c r="A404" s="1">
        <v>45986.592083333337</v>
      </c>
      <c r="B404" t="s">
        <v>776</v>
      </c>
      <c r="C404" t="s">
        <v>777</v>
      </c>
      <c r="D404" t="s">
        <v>20</v>
      </c>
      <c r="E404">
        <v>50</v>
      </c>
      <c r="F404">
        <v>11607</v>
      </c>
      <c r="G404" t="s">
        <v>21</v>
      </c>
      <c r="H404" t="s">
        <v>814</v>
      </c>
      <c r="I404" t="s">
        <v>23</v>
      </c>
      <c r="J404" s="4" t="str">
        <f t="shared" si="6"/>
        <v>ULTRACEMCO</v>
      </c>
    </row>
    <row r="405" spans="1:10" x14ac:dyDescent="0.35">
      <c r="A405" s="1">
        <v>45986.592083333337</v>
      </c>
      <c r="B405" t="s">
        <v>772</v>
      </c>
      <c r="C405" t="s">
        <v>773</v>
      </c>
      <c r="D405" t="s">
        <v>20</v>
      </c>
      <c r="E405">
        <v>400</v>
      </c>
      <c r="F405">
        <v>1424.5</v>
      </c>
      <c r="G405" t="s">
        <v>21</v>
      </c>
      <c r="H405" t="s">
        <v>815</v>
      </c>
      <c r="I405" t="s">
        <v>23</v>
      </c>
      <c r="J405" s="4" t="str">
        <f t="shared" si="6"/>
        <v>UNITDSPR</v>
      </c>
    </row>
    <row r="406" spans="1:10" x14ac:dyDescent="0.35">
      <c r="A406" s="1">
        <v>45986.592094907406</v>
      </c>
      <c r="B406" t="s">
        <v>755</v>
      </c>
      <c r="C406" t="s">
        <v>756</v>
      </c>
      <c r="D406" t="s">
        <v>20</v>
      </c>
      <c r="E406">
        <v>375</v>
      </c>
      <c r="F406">
        <v>1512.9</v>
      </c>
      <c r="G406" t="s">
        <v>21</v>
      </c>
      <c r="H406" t="s">
        <v>816</v>
      </c>
      <c r="I406" t="s">
        <v>23</v>
      </c>
      <c r="J406" s="4" t="str">
        <f t="shared" si="6"/>
        <v>CIPLA</v>
      </c>
    </row>
    <row r="407" spans="1:10" x14ac:dyDescent="0.35">
      <c r="A407" s="1">
        <v>45995.477731481478</v>
      </c>
      <c r="B407" t="s">
        <v>817</v>
      </c>
      <c r="C407" t="s">
        <v>818</v>
      </c>
      <c r="D407" t="s">
        <v>26</v>
      </c>
      <c r="E407">
        <v>1225</v>
      </c>
      <c r="F407">
        <v>505.6</v>
      </c>
      <c r="G407" t="s">
        <v>21</v>
      </c>
      <c r="H407" t="s">
        <v>819</v>
      </c>
      <c r="I407" t="s">
        <v>23</v>
      </c>
      <c r="J407" s="4" t="str">
        <f t="shared" si="6"/>
        <v>HINDZINC</v>
      </c>
    </row>
    <row r="408" spans="1:10" x14ac:dyDescent="0.35">
      <c r="A408" s="1">
        <v>46001.405115740738</v>
      </c>
      <c r="B408" t="s">
        <v>817</v>
      </c>
      <c r="C408" t="s">
        <v>818</v>
      </c>
      <c r="D408" t="s">
        <v>20</v>
      </c>
      <c r="E408">
        <v>1225</v>
      </c>
      <c r="F408">
        <v>513.70000000000005</v>
      </c>
      <c r="G408" t="s">
        <v>21</v>
      </c>
      <c r="H408" t="s">
        <v>820</v>
      </c>
      <c r="I408" t="s">
        <v>23</v>
      </c>
      <c r="J408" s="4" t="str">
        <f t="shared" si="6"/>
        <v>HINDZINC</v>
      </c>
    </row>
    <row r="409" spans="1:10" x14ac:dyDescent="0.35">
      <c r="A409" s="1">
        <v>46002.389733796299</v>
      </c>
      <c r="B409" t="s">
        <v>821</v>
      </c>
      <c r="C409" t="s">
        <v>822</v>
      </c>
      <c r="D409" t="s">
        <v>26</v>
      </c>
      <c r="E409">
        <v>5500</v>
      </c>
      <c r="F409">
        <v>3.2</v>
      </c>
      <c r="G409" t="s">
        <v>21</v>
      </c>
      <c r="H409" t="s">
        <v>823</v>
      </c>
      <c r="I409" t="s">
        <v>23</v>
      </c>
      <c r="J409" s="4" t="str">
        <f t="shared" si="6"/>
        <v>TATASTEEL</v>
      </c>
    </row>
    <row r="410" spans="1:10" x14ac:dyDescent="0.35">
      <c r="A410" s="1">
        <v>46002.392754629633</v>
      </c>
      <c r="B410" t="s">
        <v>824</v>
      </c>
      <c r="C410" t="s">
        <v>825</v>
      </c>
      <c r="D410" t="s">
        <v>26</v>
      </c>
      <c r="E410">
        <v>750</v>
      </c>
      <c r="F410">
        <v>965</v>
      </c>
      <c r="G410" t="s">
        <v>21</v>
      </c>
      <c r="H410" t="s">
        <v>826</v>
      </c>
      <c r="I410" t="s">
        <v>23</v>
      </c>
      <c r="J410" s="4" t="str">
        <f t="shared" si="6"/>
        <v>SBIN</v>
      </c>
    </row>
    <row r="411" spans="1:10" x14ac:dyDescent="0.35">
      <c r="A411" s="1">
        <v>46002.428749999999</v>
      </c>
      <c r="B411" t="s">
        <v>827</v>
      </c>
      <c r="C411" t="s">
        <v>828</v>
      </c>
      <c r="D411" t="s">
        <v>26</v>
      </c>
      <c r="E411">
        <v>75</v>
      </c>
      <c r="F411">
        <v>150.25</v>
      </c>
      <c r="G411" t="s">
        <v>21</v>
      </c>
      <c r="H411" t="s">
        <v>829</v>
      </c>
      <c r="I411" t="s">
        <v>23</v>
      </c>
      <c r="J411" s="4" t="str">
        <f t="shared" si="6"/>
        <v>NIFTY</v>
      </c>
    </row>
    <row r="412" spans="1:10" x14ac:dyDescent="0.35">
      <c r="A412" s="1">
        <v>46002.465891203705</v>
      </c>
      <c r="B412" t="s">
        <v>830</v>
      </c>
      <c r="C412" t="s">
        <v>831</v>
      </c>
      <c r="D412" t="s">
        <v>26</v>
      </c>
      <c r="E412">
        <v>375</v>
      </c>
      <c r="F412">
        <v>158.76</v>
      </c>
      <c r="G412" t="s">
        <v>21</v>
      </c>
      <c r="H412" t="s">
        <v>832</v>
      </c>
      <c r="I412" t="s">
        <v>23</v>
      </c>
      <c r="J412" s="4" t="str">
        <f t="shared" si="6"/>
        <v>NIFTY</v>
      </c>
    </row>
    <row r="413" spans="1:10" x14ac:dyDescent="0.35">
      <c r="A413" s="1">
        <v>46002.466585648152</v>
      </c>
      <c r="B413" t="s">
        <v>830</v>
      </c>
      <c r="C413" t="s">
        <v>831</v>
      </c>
      <c r="D413" t="s">
        <v>20</v>
      </c>
      <c r="E413">
        <v>375</v>
      </c>
      <c r="F413">
        <v>163.80000000000001</v>
      </c>
      <c r="G413" t="s">
        <v>21</v>
      </c>
      <c r="H413" t="s">
        <v>833</v>
      </c>
      <c r="I413" t="s">
        <v>23</v>
      </c>
      <c r="J413" s="4" t="str">
        <f t="shared" si="6"/>
        <v>NIFTY</v>
      </c>
    </row>
    <row r="414" spans="1:10" x14ac:dyDescent="0.35">
      <c r="A414" s="1">
        <v>46002.471597222226</v>
      </c>
      <c r="B414" t="s">
        <v>827</v>
      </c>
      <c r="C414" t="s">
        <v>828</v>
      </c>
      <c r="D414" t="s">
        <v>26</v>
      </c>
      <c r="E414">
        <v>225</v>
      </c>
      <c r="F414">
        <v>141.35</v>
      </c>
      <c r="G414" t="s">
        <v>21</v>
      </c>
      <c r="H414" t="s">
        <v>834</v>
      </c>
      <c r="I414" t="s">
        <v>23</v>
      </c>
      <c r="J414" s="4" t="str">
        <f t="shared" si="6"/>
        <v>NIFTY</v>
      </c>
    </row>
    <row r="415" spans="1:10" x14ac:dyDescent="0.35">
      <c r="A415" s="1">
        <v>46002.50099537037</v>
      </c>
      <c r="B415" t="s">
        <v>827</v>
      </c>
      <c r="C415" t="s">
        <v>828</v>
      </c>
      <c r="D415" t="s">
        <v>20</v>
      </c>
      <c r="E415">
        <v>300</v>
      </c>
      <c r="F415">
        <v>167.05</v>
      </c>
      <c r="G415" t="s">
        <v>21</v>
      </c>
      <c r="H415" t="s">
        <v>835</v>
      </c>
      <c r="I415" t="s">
        <v>23</v>
      </c>
      <c r="J415" s="4" t="str">
        <f t="shared" si="6"/>
        <v>NIFTY</v>
      </c>
    </row>
    <row r="416" spans="1:10" x14ac:dyDescent="0.35">
      <c r="A416" s="1">
        <v>46002.528402777774</v>
      </c>
      <c r="B416" t="s">
        <v>821</v>
      </c>
      <c r="C416" t="s">
        <v>822</v>
      </c>
      <c r="D416" t="s">
        <v>20</v>
      </c>
      <c r="E416">
        <v>5500</v>
      </c>
      <c r="F416">
        <v>3.39</v>
      </c>
      <c r="G416" t="s">
        <v>21</v>
      </c>
      <c r="H416" t="s">
        <v>836</v>
      </c>
      <c r="I416" t="s">
        <v>23</v>
      </c>
      <c r="J416" s="4" t="str">
        <f t="shared" si="6"/>
        <v>TATASTEEL</v>
      </c>
    </row>
    <row r="417" spans="1:10" x14ac:dyDescent="0.35">
      <c r="A417" s="1">
        <v>46002.548807870371</v>
      </c>
      <c r="B417" t="s">
        <v>824</v>
      </c>
      <c r="C417" t="s">
        <v>825</v>
      </c>
      <c r="D417" t="s">
        <v>20</v>
      </c>
      <c r="E417">
        <v>750</v>
      </c>
      <c r="F417">
        <v>965.95</v>
      </c>
      <c r="G417" t="s">
        <v>21</v>
      </c>
      <c r="H417" t="s">
        <v>837</v>
      </c>
      <c r="I417" t="s">
        <v>23</v>
      </c>
      <c r="J417" s="4" t="str">
        <f t="shared" si="6"/>
        <v>SBIN</v>
      </c>
    </row>
    <row r="418" spans="1:10" x14ac:dyDescent="0.35">
      <c r="A418" s="1">
        <v>46002.55027777778</v>
      </c>
      <c r="B418" t="s">
        <v>838</v>
      </c>
      <c r="C418" t="s">
        <v>839</v>
      </c>
      <c r="D418" t="s">
        <v>26</v>
      </c>
      <c r="E418">
        <v>225</v>
      </c>
      <c r="F418">
        <v>91.816666666666663</v>
      </c>
      <c r="G418" t="s">
        <v>21</v>
      </c>
      <c r="H418" t="s">
        <v>840</v>
      </c>
      <c r="I418" t="s">
        <v>23</v>
      </c>
      <c r="J418" s="4" t="str">
        <f t="shared" si="6"/>
        <v>NIFTY</v>
      </c>
    </row>
    <row r="419" spans="1:10" x14ac:dyDescent="0.35">
      <c r="A419" s="1">
        <v>46002.566423611112</v>
      </c>
      <c r="B419" t="s">
        <v>841</v>
      </c>
      <c r="C419" t="s">
        <v>842</v>
      </c>
      <c r="D419" t="s">
        <v>26</v>
      </c>
      <c r="E419">
        <v>375</v>
      </c>
      <c r="F419">
        <v>116.15</v>
      </c>
      <c r="G419" t="s">
        <v>21</v>
      </c>
      <c r="H419" t="s">
        <v>843</v>
      </c>
      <c r="I419" t="s">
        <v>23</v>
      </c>
      <c r="J419" s="4" t="str">
        <f t="shared" si="6"/>
        <v>NIFTY</v>
      </c>
    </row>
    <row r="420" spans="1:10" x14ac:dyDescent="0.35">
      <c r="A420" s="1">
        <v>46002.632986111108</v>
      </c>
      <c r="B420" t="s">
        <v>841</v>
      </c>
      <c r="C420" t="s">
        <v>842</v>
      </c>
      <c r="D420" t="s">
        <v>20</v>
      </c>
      <c r="E420">
        <v>375</v>
      </c>
      <c r="F420">
        <v>119.18</v>
      </c>
      <c r="G420" t="s">
        <v>21</v>
      </c>
      <c r="H420" t="s">
        <v>844</v>
      </c>
      <c r="I420" t="s">
        <v>23</v>
      </c>
      <c r="J420" s="4" t="str">
        <f t="shared" si="6"/>
        <v>NIFTY</v>
      </c>
    </row>
    <row r="421" spans="1:10" x14ac:dyDescent="0.35">
      <c r="A421" s="1">
        <v>46003.38758101852</v>
      </c>
      <c r="B421" t="s">
        <v>845</v>
      </c>
      <c r="C421" t="s">
        <v>846</v>
      </c>
      <c r="D421" t="s">
        <v>26</v>
      </c>
      <c r="E421">
        <v>600</v>
      </c>
      <c r="F421">
        <v>25</v>
      </c>
      <c r="G421" t="s">
        <v>21</v>
      </c>
      <c r="H421" t="s">
        <v>847</v>
      </c>
      <c r="I421" t="s">
        <v>23</v>
      </c>
      <c r="J421" s="4" t="str">
        <f t="shared" si="6"/>
        <v>ADANIGREEN</v>
      </c>
    </row>
    <row r="422" spans="1:10" x14ac:dyDescent="0.35">
      <c r="A422" s="1">
        <v>46003.393310185187</v>
      </c>
      <c r="B422" t="s">
        <v>838</v>
      </c>
      <c r="C422" t="s">
        <v>839</v>
      </c>
      <c r="D422" t="s">
        <v>20</v>
      </c>
      <c r="E422">
        <v>75</v>
      </c>
      <c r="F422">
        <v>38.700000000000003</v>
      </c>
      <c r="G422" t="s">
        <v>21</v>
      </c>
      <c r="H422" t="s">
        <v>848</v>
      </c>
      <c r="I422" t="s">
        <v>23</v>
      </c>
      <c r="J422" s="4" t="str">
        <f t="shared" si="6"/>
        <v>NIFTY</v>
      </c>
    </row>
    <row r="423" spans="1:10" x14ac:dyDescent="0.35">
      <c r="A423" s="1">
        <v>46003.393784722219</v>
      </c>
      <c r="B423" t="s">
        <v>849</v>
      </c>
      <c r="C423" t="s">
        <v>850</v>
      </c>
      <c r="D423" t="s">
        <v>26</v>
      </c>
      <c r="E423">
        <v>75</v>
      </c>
      <c r="F423">
        <v>105.25</v>
      </c>
      <c r="G423" t="s">
        <v>21</v>
      </c>
      <c r="H423" t="s">
        <v>851</v>
      </c>
      <c r="I423" t="s">
        <v>23</v>
      </c>
      <c r="J423" s="4" t="str">
        <f t="shared" si="6"/>
        <v>NIFTY</v>
      </c>
    </row>
    <row r="424" spans="1:10" x14ac:dyDescent="0.35">
      <c r="A424" s="1">
        <v>46003.396932870368</v>
      </c>
      <c r="B424" t="s">
        <v>852</v>
      </c>
      <c r="C424" t="s">
        <v>853</v>
      </c>
      <c r="D424" t="s">
        <v>26</v>
      </c>
      <c r="E424">
        <v>225</v>
      </c>
      <c r="F424">
        <v>97.6</v>
      </c>
      <c r="G424" t="s">
        <v>21</v>
      </c>
      <c r="H424" t="s">
        <v>854</v>
      </c>
      <c r="I424" t="s">
        <v>23</v>
      </c>
      <c r="J424" s="4" t="str">
        <f t="shared" si="6"/>
        <v>NIFTY</v>
      </c>
    </row>
    <row r="425" spans="1:10" x14ac:dyDescent="0.35">
      <c r="A425" s="1">
        <v>46003.40556712963</v>
      </c>
      <c r="B425" t="s">
        <v>855</v>
      </c>
      <c r="C425" t="s">
        <v>856</v>
      </c>
      <c r="D425" t="s">
        <v>26</v>
      </c>
      <c r="E425">
        <v>1650</v>
      </c>
      <c r="F425">
        <v>18.375</v>
      </c>
      <c r="G425" t="s">
        <v>21</v>
      </c>
      <c r="H425" t="s">
        <v>857</v>
      </c>
      <c r="I425" t="s">
        <v>23</v>
      </c>
      <c r="J425" s="4" t="str">
        <f t="shared" si="6"/>
        <v>DLF</v>
      </c>
    </row>
    <row r="426" spans="1:10" x14ac:dyDescent="0.35">
      <c r="A426" s="1">
        <v>46003.426261574074</v>
      </c>
      <c r="B426" t="s">
        <v>858</v>
      </c>
      <c r="C426" t="s">
        <v>859</v>
      </c>
      <c r="D426" t="s">
        <v>26</v>
      </c>
      <c r="E426">
        <v>75</v>
      </c>
      <c r="F426">
        <v>123.55</v>
      </c>
      <c r="G426" t="s">
        <v>21</v>
      </c>
      <c r="H426" t="s">
        <v>860</v>
      </c>
      <c r="I426" t="s">
        <v>23</v>
      </c>
      <c r="J426" s="4" t="str">
        <f t="shared" si="6"/>
        <v>NIFTY</v>
      </c>
    </row>
    <row r="427" spans="1:10" x14ac:dyDescent="0.35">
      <c r="A427" s="1">
        <v>46003.436307870368</v>
      </c>
      <c r="B427" t="s">
        <v>838</v>
      </c>
      <c r="C427" t="s">
        <v>839</v>
      </c>
      <c r="D427" t="s">
        <v>20</v>
      </c>
      <c r="E427">
        <v>75</v>
      </c>
      <c r="F427">
        <v>45.25</v>
      </c>
      <c r="G427" t="s">
        <v>21</v>
      </c>
      <c r="H427" t="s">
        <v>861</v>
      </c>
      <c r="I427" t="s">
        <v>23</v>
      </c>
      <c r="J427" s="4" t="str">
        <f t="shared" si="6"/>
        <v>NIFTY</v>
      </c>
    </row>
    <row r="428" spans="1:10" x14ac:dyDescent="0.35">
      <c r="A428" s="1">
        <v>46003.436678240738</v>
      </c>
      <c r="B428" t="s">
        <v>858</v>
      </c>
      <c r="C428" t="s">
        <v>859</v>
      </c>
      <c r="D428" t="s">
        <v>26</v>
      </c>
      <c r="E428">
        <v>75</v>
      </c>
      <c r="F428">
        <v>108.35</v>
      </c>
      <c r="G428" t="s">
        <v>21</v>
      </c>
      <c r="H428" t="s">
        <v>862</v>
      </c>
      <c r="I428" t="s">
        <v>23</v>
      </c>
      <c r="J428" s="4" t="str">
        <f t="shared" si="6"/>
        <v>NIFTY</v>
      </c>
    </row>
    <row r="429" spans="1:10" x14ac:dyDescent="0.35">
      <c r="A429" s="1">
        <v>46003.438321759262</v>
      </c>
      <c r="B429" t="s">
        <v>858</v>
      </c>
      <c r="C429" t="s">
        <v>859</v>
      </c>
      <c r="D429" t="s">
        <v>26</v>
      </c>
      <c r="E429">
        <v>75</v>
      </c>
      <c r="F429">
        <v>115</v>
      </c>
      <c r="G429" t="s">
        <v>21</v>
      </c>
      <c r="H429" t="s">
        <v>863</v>
      </c>
      <c r="I429" t="s">
        <v>23</v>
      </c>
      <c r="J429" s="4" t="str">
        <f t="shared" si="6"/>
        <v>NIFTY</v>
      </c>
    </row>
    <row r="430" spans="1:10" x14ac:dyDescent="0.35">
      <c r="A430" s="1">
        <v>46003.458738425928</v>
      </c>
      <c r="B430" t="s">
        <v>858</v>
      </c>
      <c r="C430" t="s">
        <v>859</v>
      </c>
      <c r="D430" t="s">
        <v>26</v>
      </c>
      <c r="E430">
        <v>75</v>
      </c>
      <c r="F430">
        <v>107.15</v>
      </c>
      <c r="G430" t="s">
        <v>21</v>
      </c>
      <c r="H430" t="s">
        <v>864</v>
      </c>
      <c r="I430" t="s">
        <v>23</v>
      </c>
      <c r="J430" s="4" t="str">
        <f t="shared" si="6"/>
        <v>NIFTY</v>
      </c>
    </row>
    <row r="431" spans="1:10" x14ac:dyDescent="0.35">
      <c r="A431" s="1">
        <v>46003.460023148145</v>
      </c>
      <c r="B431" t="s">
        <v>849</v>
      </c>
      <c r="C431" t="s">
        <v>850</v>
      </c>
      <c r="D431" t="s">
        <v>26</v>
      </c>
      <c r="E431">
        <v>75</v>
      </c>
      <c r="F431">
        <v>88</v>
      </c>
      <c r="G431" t="s">
        <v>21</v>
      </c>
      <c r="H431" t="s">
        <v>865</v>
      </c>
      <c r="I431" t="s">
        <v>23</v>
      </c>
      <c r="J431" s="4" t="str">
        <f t="shared" si="6"/>
        <v>NIFTY</v>
      </c>
    </row>
    <row r="432" spans="1:10" x14ac:dyDescent="0.35">
      <c r="A432" s="1">
        <v>46003.461180555554</v>
      </c>
      <c r="B432" t="s">
        <v>866</v>
      </c>
      <c r="C432" t="s">
        <v>867</v>
      </c>
      <c r="D432" t="s">
        <v>26</v>
      </c>
      <c r="E432">
        <v>35</v>
      </c>
      <c r="F432">
        <v>722.25</v>
      </c>
      <c r="G432" t="s">
        <v>21</v>
      </c>
      <c r="H432" t="s">
        <v>868</v>
      </c>
      <c r="I432" t="s">
        <v>23</v>
      </c>
      <c r="J432" s="4" t="str">
        <f t="shared" si="6"/>
        <v>BANKNIFTY</v>
      </c>
    </row>
    <row r="433" spans="1:10" x14ac:dyDescent="0.35">
      <c r="A433" s="1">
        <v>46003.482523148145</v>
      </c>
      <c r="B433" t="s">
        <v>866</v>
      </c>
      <c r="C433" t="s">
        <v>867</v>
      </c>
      <c r="D433" t="s">
        <v>20</v>
      </c>
      <c r="E433">
        <v>35</v>
      </c>
      <c r="F433">
        <v>810</v>
      </c>
      <c r="G433" t="s">
        <v>21</v>
      </c>
      <c r="H433" t="s">
        <v>869</v>
      </c>
      <c r="I433" t="s">
        <v>23</v>
      </c>
      <c r="J433" s="4" t="str">
        <f t="shared" si="6"/>
        <v>BANKNIFTY</v>
      </c>
    </row>
    <row r="434" spans="1:10" x14ac:dyDescent="0.35">
      <c r="A434" s="1">
        <v>46003.525648148148</v>
      </c>
      <c r="B434" t="s">
        <v>858</v>
      </c>
      <c r="C434" t="s">
        <v>859</v>
      </c>
      <c r="D434" t="s">
        <v>20</v>
      </c>
      <c r="E434">
        <v>300</v>
      </c>
      <c r="F434">
        <v>148.35</v>
      </c>
      <c r="G434" t="s">
        <v>21</v>
      </c>
      <c r="H434" t="s">
        <v>870</v>
      </c>
      <c r="I434" t="s">
        <v>23</v>
      </c>
      <c r="J434" s="4" t="str">
        <f t="shared" si="6"/>
        <v>NIFTY</v>
      </c>
    </row>
    <row r="435" spans="1:10" x14ac:dyDescent="0.35">
      <c r="A435" s="1">
        <v>46003.592962962961</v>
      </c>
      <c r="B435" t="s">
        <v>849</v>
      </c>
      <c r="C435" t="s">
        <v>850</v>
      </c>
      <c r="D435" t="s">
        <v>20</v>
      </c>
      <c r="E435">
        <v>150</v>
      </c>
      <c r="F435">
        <v>120.3</v>
      </c>
      <c r="G435" t="s">
        <v>21</v>
      </c>
      <c r="H435" t="s">
        <v>871</v>
      </c>
      <c r="I435" t="s">
        <v>23</v>
      </c>
      <c r="J435" s="4" t="str">
        <f t="shared" si="6"/>
        <v>NIFTY</v>
      </c>
    </row>
    <row r="436" spans="1:10" x14ac:dyDescent="0.35">
      <c r="A436" s="1">
        <v>46003.606226851851</v>
      </c>
      <c r="B436" t="s">
        <v>872</v>
      </c>
      <c r="C436" t="s">
        <v>873</v>
      </c>
      <c r="D436" t="s">
        <v>26</v>
      </c>
      <c r="E436">
        <v>75</v>
      </c>
      <c r="F436">
        <v>106.15</v>
      </c>
      <c r="G436" t="s">
        <v>21</v>
      </c>
      <c r="H436" t="s">
        <v>874</v>
      </c>
      <c r="I436" t="s">
        <v>23</v>
      </c>
      <c r="J436" s="4" t="str">
        <f t="shared" si="6"/>
        <v>NIFTY</v>
      </c>
    </row>
    <row r="437" spans="1:10" x14ac:dyDescent="0.35">
      <c r="A437" s="1">
        <v>46006.387685185182</v>
      </c>
      <c r="B437" t="s">
        <v>866</v>
      </c>
      <c r="C437" t="s">
        <v>867</v>
      </c>
      <c r="D437" t="s">
        <v>26</v>
      </c>
      <c r="E437">
        <v>35</v>
      </c>
      <c r="F437">
        <v>689.8</v>
      </c>
      <c r="G437" t="s">
        <v>21</v>
      </c>
      <c r="H437" t="s">
        <v>875</v>
      </c>
      <c r="I437" t="s">
        <v>23</v>
      </c>
      <c r="J437" s="4" t="str">
        <f t="shared" si="6"/>
        <v>BANKNIFTY</v>
      </c>
    </row>
    <row r="438" spans="1:10" x14ac:dyDescent="0.35">
      <c r="A438" s="1">
        <v>46006.392395833333</v>
      </c>
      <c r="B438" t="s">
        <v>841</v>
      </c>
      <c r="C438" t="s">
        <v>842</v>
      </c>
      <c r="D438" t="s">
        <v>26</v>
      </c>
      <c r="E438">
        <v>75</v>
      </c>
      <c r="F438">
        <v>96.6</v>
      </c>
      <c r="G438" t="s">
        <v>21</v>
      </c>
      <c r="H438" t="s">
        <v>876</v>
      </c>
      <c r="I438" t="s">
        <v>23</v>
      </c>
      <c r="J438" s="4" t="str">
        <f t="shared" si="6"/>
        <v>NIFTY</v>
      </c>
    </row>
    <row r="439" spans="1:10" x14ac:dyDescent="0.35">
      <c r="A439" s="1">
        <v>46006.395185185182</v>
      </c>
      <c r="B439" t="s">
        <v>838</v>
      </c>
      <c r="C439" t="s">
        <v>839</v>
      </c>
      <c r="D439" t="s">
        <v>20</v>
      </c>
      <c r="E439">
        <v>75</v>
      </c>
      <c r="F439">
        <v>45.8</v>
      </c>
      <c r="G439" t="s">
        <v>21</v>
      </c>
      <c r="H439" t="s">
        <v>877</v>
      </c>
      <c r="I439" t="s">
        <v>23</v>
      </c>
      <c r="J439" s="4" t="str">
        <f t="shared" si="6"/>
        <v>NIFTY</v>
      </c>
    </row>
    <row r="440" spans="1:10" x14ac:dyDescent="0.35">
      <c r="A440" s="1">
        <v>46006.396666666667</v>
      </c>
      <c r="B440" t="s">
        <v>866</v>
      </c>
      <c r="C440" t="s">
        <v>867</v>
      </c>
      <c r="D440" t="s">
        <v>26</v>
      </c>
      <c r="E440">
        <v>35</v>
      </c>
      <c r="F440">
        <v>630.75</v>
      </c>
      <c r="G440" t="s">
        <v>21</v>
      </c>
      <c r="H440" t="s">
        <v>878</v>
      </c>
      <c r="I440" t="s">
        <v>23</v>
      </c>
      <c r="J440" s="4" t="str">
        <f t="shared" si="6"/>
        <v>BANKNIFTY</v>
      </c>
    </row>
    <row r="441" spans="1:10" x14ac:dyDescent="0.35">
      <c r="A441" s="1">
        <v>46006.401898148149</v>
      </c>
      <c r="B441" t="s">
        <v>879</v>
      </c>
      <c r="C441" t="s">
        <v>880</v>
      </c>
      <c r="D441" t="s">
        <v>26</v>
      </c>
      <c r="E441">
        <v>35</v>
      </c>
      <c r="F441">
        <v>673.75</v>
      </c>
      <c r="G441" t="s">
        <v>21</v>
      </c>
      <c r="H441" t="s">
        <v>881</v>
      </c>
      <c r="I441" t="s">
        <v>23</v>
      </c>
      <c r="J441" s="4" t="str">
        <f t="shared" si="6"/>
        <v>BANKNIFTY</v>
      </c>
    </row>
    <row r="442" spans="1:10" x14ac:dyDescent="0.35">
      <c r="A442" s="1">
        <v>46006.409155092595</v>
      </c>
      <c r="B442" t="s">
        <v>882</v>
      </c>
      <c r="C442" t="s">
        <v>883</v>
      </c>
      <c r="D442" t="s">
        <v>26</v>
      </c>
      <c r="E442">
        <v>175</v>
      </c>
      <c r="F442">
        <v>51.65</v>
      </c>
      <c r="G442" t="s">
        <v>21</v>
      </c>
      <c r="H442" t="s">
        <v>884</v>
      </c>
      <c r="I442" t="s">
        <v>23</v>
      </c>
      <c r="J442" s="4" t="str">
        <f t="shared" si="6"/>
        <v>TCS</v>
      </c>
    </row>
    <row r="443" spans="1:10" x14ac:dyDescent="0.35">
      <c r="A443" s="1">
        <v>46006.45517361111</v>
      </c>
      <c r="B443" t="s">
        <v>841</v>
      </c>
      <c r="C443" t="s">
        <v>842</v>
      </c>
      <c r="D443" t="s">
        <v>20</v>
      </c>
      <c r="E443">
        <v>75</v>
      </c>
      <c r="F443">
        <v>126.45</v>
      </c>
      <c r="G443" t="s">
        <v>21</v>
      </c>
      <c r="H443" t="s">
        <v>885</v>
      </c>
      <c r="I443" t="s">
        <v>23</v>
      </c>
      <c r="J443" s="4" t="str">
        <f t="shared" si="6"/>
        <v>NIFTY</v>
      </c>
    </row>
    <row r="444" spans="1:10" x14ac:dyDescent="0.35">
      <c r="A444" s="1">
        <v>46006.553564814814</v>
      </c>
      <c r="B444" t="s">
        <v>879</v>
      </c>
      <c r="C444" t="s">
        <v>880</v>
      </c>
      <c r="D444" t="s">
        <v>20</v>
      </c>
      <c r="E444">
        <v>35</v>
      </c>
      <c r="F444">
        <v>872.65</v>
      </c>
      <c r="G444" t="s">
        <v>21</v>
      </c>
      <c r="H444" t="s">
        <v>886</v>
      </c>
      <c r="I444" t="s">
        <v>23</v>
      </c>
      <c r="J444" s="4" t="str">
        <f t="shared" si="6"/>
        <v>BANKNIFTY</v>
      </c>
    </row>
    <row r="445" spans="1:10" x14ac:dyDescent="0.35">
      <c r="A445" s="1">
        <v>46006.610810185186</v>
      </c>
      <c r="B445" t="s">
        <v>866</v>
      </c>
      <c r="C445" t="s">
        <v>867</v>
      </c>
      <c r="D445" t="s">
        <v>20</v>
      </c>
      <c r="E445">
        <v>35</v>
      </c>
      <c r="F445">
        <v>762.4</v>
      </c>
      <c r="G445" t="s">
        <v>21</v>
      </c>
      <c r="H445" t="s">
        <v>887</v>
      </c>
      <c r="I445" t="s">
        <v>23</v>
      </c>
      <c r="J445" s="4" t="str">
        <f t="shared" si="6"/>
        <v>BANKNIFTY</v>
      </c>
    </row>
    <row r="446" spans="1:10" x14ac:dyDescent="0.35">
      <c r="A446" s="1">
        <v>46006.611215277779</v>
      </c>
      <c r="B446" t="s">
        <v>882</v>
      </c>
      <c r="C446" t="s">
        <v>883</v>
      </c>
      <c r="D446" t="s">
        <v>20</v>
      </c>
      <c r="E446">
        <v>175</v>
      </c>
      <c r="F446">
        <v>59.65</v>
      </c>
      <c r="G446" t="s">
        <v>21</v>
      </c>
      <c r="H446" t="s">
        <v>888</v>
      </c>
      <c r="I446" t="s">
        <v>23</v>
      </c>
      <c r="J446" s="4" t="str">
        <f t="shared" si="6"/>
        <v>TCS</v>
      </c>
    </row>
    <row r="447" spans="1:10" x14ac:dyDescent="0.35">
      <c r="A447" s="1">
        <v>46006.630185185182</v>
      </c>
      <c r="B447" t="s">
        <v>866</v>
      </c>
      <c r="C447" t="s">
        <v>867</v>
      </c>
      <c r="D447" t="s">
        <v>20</v>
      </c>
      <c r="E447">
        <v>35</v>
      </c>
      <c r="F447">
        <v>772.55</v>
      </c>
      <c r="G447" t="s">
        <v>21</v>
      </c>
      <c r="H447" t="s">
        <v>889</v>
      </c>
      <c r="I447" t="s">
        <v>23</v>
      </c>
      <c r="J447" s="4" t="str">
        <f t="shared" si="6"/>
        <v>BANKNIFTY</v>
      </c>
    </row>
    <row r="448" spans="1:10" x14ac:dyDescent="0.35">
      <c r="A448" s="1">
        <v>46006.634062500001</v>
      </c>
      <c r="B448" t="s">
        <v>845</v>
      </c>
      <c r="C448" t="s">
        <v>846</v>
      </c>
      <c r="D448" t="s">
        <v>20</v>
      </c>
      <c r="E448">
        <v>600</v>
      </c>
      <c r="F448">
        <v>30.1</v>
      </c>
      <c r="G448" t="s">
        <v>21</v>
      </c>
      <c r="H448" t="s">
        <v>890</v>
      </c>
      <c r="I448" t="s">
        <v>23</v>
      </c>
      <c r="J448" s="4" t="str">
        <f t="shared" si="6"/>
        <v>ADANIGREEN</v>
      </c>
    </row>
    <row r="449" spans="1:10" x14ac:dyDescent="0.35">
      <c r="A449" s="1">
        <v>46007.391886574071</v>
      </c>
      <c r="B449" t="s">
        <v>866</v>
      </c>
      <c r="C449" t="s">
        <v>867</v>
      </c>
      <c r="D449" t="s">
        <v>26</v>
      </c>
      <c r="E449">
        <v>35</v>
      </c>
      <c r="F449">
        <v>624.20000000000005</v>
      </c>
      <c r="G449" t="s">
        <v>21</v>
      </c>
      <c r="H449" t="s">
        <v>891</v>
      </c>
      <c r="I449" t="s">
        <v>23</v>
      </c>
      <c r="J449" s="4" t="str">
        <f t="shared" si="6"/>
        <v>BANKNIFTY</v>
      </c>
    </row>
    <row r="450" spans="1:10" x14ac:dyDescent="0.35">
      <c r="A450" s="1">
        <v>46007.391932870371</v>
      </c>
      <c r="B450" t="s">
        <v>866</v>
      </c>
      <c r="C450" t="s">
        <v>867</v>
      </c>
      <c r="D450" t="s">
        <v>20</v>
      </c>
      <c r="E450">
        <v>35</v>
      </c>
      <c r="F450">
        <v>618.1</v>
      </c>
      <c r="G450" t="s">
        <v>21</v>
      </c>
      <c r="H450" t="s">
        <v>892</v>
      </c>
      <c r="I450" t="s">
        <v>23</v>
      </c>
      <c r="J450" s="4" t="str">
        <f t="shared" si="6"/>
        <v>BANKNIFTY</v>
      </c>
    </row>
    <row r="451" spans="1:10" x14ac:dyDescent="0.35">
      <c r="A451" s="1">
        <v>46007.394074074073</v>
      </c>
      <c r="B451" t="s">
        <v>866</v>
      </c>
      <c r="C451" t="s">
        <v>867</v>
      </c>
      <c r="D451" t="s">
        <v>26</v>
      </c>
      <c r="E451">
        <v>35</v>
      </c>
      <c r="F451">
        <v>601.95000000000005</v>
      </c>
      <c r="G451" t="s">
        <v>21</v>
      </c>
      <c r="H451" t="s">
        <v>893</v>
      </c>
      <c r="I451" t="s">
        <v>23</v>
      </c>
      <c r="J451" s="4" t="str">
        <f t="shared" si="6"/>
        <v>BANKNIFTY</v>
      </c>
    </row>
    <row r="452" spans="1:10" x14ac:dyDescent="0.35">
      <c r="A452" s="1">
        <v>46007.396134259259</v>
      </c>
      <c r="B452" t="s">
        <v>894</v>
      </c>
      <c r="C452" t="s">
        <v>895</v>
      </c>
      <c r="D452" t="s">
        <v>26</v>
      </c>
      <c r="E452">
        <v>75</v>
      </c>
      <c r="F452">
        <v>174.8</v>
      </c>
      <c r="G452" t="s">
        <v>21</v>
      </c>
      <c r="H452" t="s">
        <v>896</v>
      </c>
      <c r="I452" t="s">
        <v>23</v>
      </c>
      <c r="J452" s="4" t="str">
        <f t="shared" si="6"/>
        <v>NIFTY</v>
      </c>
    </row>
    <row r="453" spans="1:10" x14ac:dyDescent="0.35">
      <c r="A453" s="1">
        <v>46007.398182870369</v>
      </c>
      <c r="B453" t="s">
        <v>879</v>
      </c>
      <c r="C453" t="s">
        <v>880</v>
      </c>
      <c r="D453" t="s">
        <v>26</v>
      </c>
      <c r="E453">
        <v>35</v>
      </c>
      <c r="F453">
        <v>635.25</v>
      </c>
      <c r="G453" t="s">
        <v>21</v>
      </c>
      <c r="H453" t="s">
        <v>897</v>
      </c>
      <c r="I453" t="s">
        <v>23</v>
      </c>
      <c r="J453" s="4" t="str">
        <f t="shared" si="6"/>
        <v>BANKNIFTY</v>
      </c>
    </row>
    <row r="454" spans="1:10" x14ac:dyDescent="0.35">
      <c r="A454" s="1">
        <v>46007.398217592592</v>
      </c>
      <c r="B454" t="s">
        <v>879</v>
      </c>
      <c r="C454" t="s">
        <v>880</v>
      </c>
      <c r="D454" t="s">
        <v>20</v>
      </c>
      <c r="E454">
        <v>35</v>
      </c>
      <c r="F454">
        <v>639.95000000000005</v>
      </c>
      <c r="G454" t="s">
        <v>21</v>
      </c>
      <c r="H454" t="s">
        <v>898</v>
      </c>
      <c r="I454" t="s">
        <v>23</v>
      </c>
      <c r="J454" s="4" t="str">
        <f t="shared" si="6"/>
        <v>BANKNIFTY</v>
      </c>
    </row>
    <row r="455" spans="1:10" x14ac:dyDescent="0.35">
      <c r="A455" s="1">
        <v>46007.400868055556</v>
      </c>
      <c r="B455" t="s">
        <v>879</v>
      </c>
      <c r="C455" t="s">
        <v>880</v>
      </c>
      <c r="D455" t="s">
        <v>26</v>
      </c>
      <c r="E455">
        <v>35</v>
      </c>
      <c r="F455">
        <v>652.25</v>
      </c>
      <c r="G455" t="s">
        <v>21</v>
      </c>
      <c r="H455" t="s">
        <v>899</v>
      </c>
      <c r="I455" t="s">
        <v>23</v>
      </c>
      <c r="J455" s="4" t="str">
        <f t="shared" si="6"/>
        <v>BANKNIFTY</v>
      </c>
    </row>
    <row r="456" spans="1:10" x14ac:dyDescent="0.35">
      <c r="A456" s="1">
        <v>46007.409317129626</v>
      </c>
      <c r="B456" t="s">
        <v>879</v>
      </c>
      <c r="C456" t="s">
        <v>880</v>
      </c>
      <c r="D456" t="s">
        <v>20</v>
      </c>
      <c r="E456">
        <v>35</v>
      </c>
      <c r="F456">
        <v>665.2</v>
      </c>
      <c r="G456" t="s">
        <v>21</v>
      </c>
      <c r="H456" t="s">
        <v>900</v>
      </c>
      <c r="I456" t="s">
        <v>23</v>
      </c>
      <c r="J456" s="4" t="str">
        <f t="shared" si="6"/>
        <v>BANKNIFTY</v>
      </c>
    </row>
    <row r="457" spans="1:10" x14ac:dyDescent="0.35">
      <c r="A457" s="1">
        <v>46007.465138888889</v>
      </c>
      <c r="B457" t="s">
        <v>879</v>
      </c>
      <c r="C457" t="s">
        <v>880</v>
      </c>
      <c r="D457" t="s">
        <v>26</v>
      </c>
      <c r="E457">
        <v>35</v>
      </c>
      <c r="F457">
        <v>638.45000000000005</v>
      </c>
      <c r="G457" t="s">
        <v>21</v>
      </c>
      <c r="H457" t="s">
        <v>901</v>
      </c>
      <c r="I457" t="s">
        <v>23</v>
      </c>
      <c r="J457" s="4" t="str">
        <f t="shared" ref="J457:J520" si="7">LEFT(B457,FIND(" ",B457)-1)</f>
        <v>BANKNIFTY</v>
      </c>
    </row>
    <row r="458" spans="1:10" x14ac:dyDescent="0.35">
      <c r="A458" s="1">
        <v>46007.597083333334</v>
      </c>
      <c r="B458" t="s">
        <v>902</v>
      </c>
      <c r="C458" t="s">
        <v>903</v>
      </c>
      <c r="D458" t="s">
        <v>26</v>
      </c>
      <c r="E458">
        <v>75</v>
      </c>
      <c r="F458">
        <v>86.25</v>
      </c>
      <c r="G458" t="s">
        <v>21</v>
      </c>
      <c r="H458" t="s">
        <v>904</v>
      </c>
      <c r="I458" t="s">
        <v>23</v>
      </c>
      <c r="J458" s="4" t="str">
        <f t="shared" si="7"/>
        <v>NIFTY</v>
      </c>
    </row>
    <row r="459" spans="1:10" x14ac:dyDescent="0.35">
      <c r="A459" s="1">
        <v>46007.617604166669</v>
      </c>
      <c r="B459" t="s">
        <v>879</v>
      </c>
      <c r="C459" t="s">
        <v>880</v>
      </c>
      <c r="D459" t="s">
        <v>20</v>
      </c>
      <c r="E459">
        <v>35</v>
      </c>
      <c r="F459">
        <v>605.5</v>
      </c>
      <c r="G459" t="s">
        <v>21</v>
      </c>
      <c r="H459" t="s">
        <v>905</v>
      </c>
      <c r="I459" t="s">
        <v>23</v>
      </c>
      <c r="J459" s="4" t="str">
        <f t="shared" si="7"/>
        <v>BANKNIFTY</v>
      </c>
    </row>
    <row r="460" spans="1:10" x14ac:dyDescent="0.35">
      <c r="A460" s="1">
        <v>46007.62259259259</v>
      </c>
      <c r="B460" t="s">
        <v>902</v>
      </c>
      <c r="C460" t="s">
        <v>903</v>
      </c>
      <c r="D460" t="s">
        <v>20</v>
      </c>
      <c r="E460">
        <v>75</v>
      </c>
      <c r="F460">
        <v>74.95</v>
      </c>
      <c r="G460" t="s">
        <v>21</v>
      </c>
      <c r="H460" t="s">
        <v>906</v>
      </c>
      <c r="I460" t="s">
        <v>23</v>
      </c>
      <c r="J460" s="4" t="str">
        <f t="shared" si="7"/>
        <v>NIFTY</v>
      </c>
    </row>
    <row r="461" spans="1:10" x14ac:dyDescent="0.35">
      <c r="A461" s="1">
        <v>46007.631284722222</v>
      </c>
      <c r="B461" t="s">
        <v>894</v>
      </c>
      <c r="C461" t="s">
        <v>895</v>
      </c>
      <c r="D461" t="s">
        <v>20</v>
      </c>
      <c r="E461">
        <v>75</v>
      </c>
      <c r="F461">
        <v>135</v>
      </c>
      <c r="G461" t="s">
        <v>21</v>
      </c>
      <c r="H461" t="s">
        <v>907</v>
      </c>
      <c r="I461" t="s">
        <v>23</v>
      </c>
      <c r="J461" s="4" t="str">
        <f t="shared" si="7"/>
        <v>NIFTY</v>
      </c>
    </row>
    <row r="462" spans="1:10" x14ac:dyDescent="0.35">
      <c r="A462" s="1">
        <v>46008.399050925924</v>
      </c>
      <c r="B462" t="s">
        <v>908</v>
      </c>
      <c r="C462" t="s">
        <v>909</v>
      </c>
      <c r="D462" t="s">
        <v>26</v>
      </c>
      <c r="E462">
        <v>35</v>
      </c>
      <c r="F462">
        <v>640.9</v>
      </c>
      <c r="G462" t="s">
        <v>21</v>
      </c>
      <c r="H462" t="s">
        <v>910</v>
      </c>
      <c r="I462" t="s">
        <v>23</v>
      </c>
      <c r="J462" s="4" t="str">
        <f t="shared" si="7"/>
        <v>BANKNIFTY</v>
      </c>
    </row>
    <row r="463" spans="1:10" x14ac:dyDescent="0.35">
      <c r="A463" s="1">
        <v>46008.407280092593</v>
      </c>
      <c r="B463" t="s">
        <v>911</v>
      </c>
      <c r="C463" t="s">
        <v>912</v>
      </c>
      <c r="D463" t="s">
        <v>26</v>
      </c>
      <c r="E463">
        <v>150</v>
      </c>
      <c r="F463">
        <v>105.85</v>
      </c>
      <c r="G463" t="s">
        <v>21</v>
      </c>
      <c r="H463" t="s">
        <v>913</v>
      </c>
      <c r="I463" t="s">
        <v>23</v>
      </c>
      <c r="J463" s="4" t="str">
        <f t="shared" si="7"/>
        <v>NIFTY</v>
      </c>
    </row>
    <row r="464" spans="1:10" x14ac:dyDescent="0.35">
      <c r="A464" s="1">
        <v>46008.408379629633</v>
      </c>
      <c r="B464" t="s">
        <v>866</v>
      </c>
      <c r="C464" t="s">
        <v>867</v>
      </c>
      <c r="D464" t="s">
        <v>20</v>
      </c>
      <c r="E464">
        <v>35</v>
      </c>
      <c r="F464">
        <v>450.35</v>
      </c>
      <c r="G464" t="s">
        <v>21</v>
      </c>
      <c r="H464" t="s">
        <v>914</v>
      </c>
      <c r="I464" t="s">
        <v>23</v>
      </c>
      <c r="J464" s="4" t="str">
        <f t="shared" si="7"/>
        <v>BANKNIFTY</v>
      </c>
    </row>
    <row r="465" spans="1:10" x14ac:dyDescent="0.35">
      <c r="A465" s="1">
        <v>46008.412627314814</v>
      </c>
      <c r="B465" t="s">
        <v>915</v>
      </c>
      <c r="C465" t="s">
        <v>916</v>
      </c>
      <c r="D465" t="s">
        <v>26</v>
      </c>
      <c r="E465">
        <v>75</v>
      </c>
      <c r="F465">
        <v>148.19999999999999</v>
      </c>
      <c r="G465" t="s">
        <v>21</v>
      </c>
      <c r="H465" t="s">
        <v>917</v>
      </c>
      <c r="I465" t="s">
        <v>23</v>
      </c>
      <c r="J465" s="4" t="str">
        <f t="shared" si="7"/>
        <v>NIFTY</v>
      </c>
    </row>
    <row r="466" spans="1:10" x14ac:dyDescent="0.35">
      <c r="A466" s="1">
        <v>46008.436851851853</v>
      </c>
      <c r="B466" t="s">
        <v>908</v>
      </c>
      <c r="C466" t="s">
        <v>909</v>
      </c>
      <c r="D466" t="s">
        <v>20</v>
      </c>
      <c r="E466">
        <v>35</v>
      </c>
      <c r="F466">
        <v>524.20000000000005</v>
      </c>
      <c r="G466" t="s">
        <v>21</v>
      </c>
      <c r="H466" t="s">
        <v>918</v>
      </c>
      <c r="I466" t="s">
        <v>23</v>
      </c>
      <c r="J466" s="4" t="str">
        <f t="shared" si="7"/>
        <v>BANKNIFTY</v>
      </c>
    </row>
    <row r="467" spans="1:10" x14ac:dyDescent="0.35">
      <c r="A467" s="1">
        <v>46008.447800925926</v>
      </c>
      <c r="B467" t="s">
        <v>919</v>
      </c>
      <c r="C467" t="s">
        <v>920</v>
      </c>
      <c r="D467" t="s">
        <v>26</v>
      </c>
      <c r="E467">
        <v>6750</v>
      </c>
      <c r="F467">
        <v>1.67</v>
      </c>
      <c r="G467" t="s">
        <v>21</v>
      </c>
      <c r="H467" t="s">
        <v>921</v>
      </c>
      <c r="I467" t="s">
        <v>23</v>
      </c>
      <c r="J467" s="4" t="str">
        <f t="shared" si="7"/>
        <v>NMDC</v>
      </c>
    </row>
    <row r="468" spans="1:10" x14ac:dyDescent="0.35">
      <c r="A468" s="1">
        <v>46008.450543981482</v>
      </c>
      <c r="B468" t="s">
        <v>922</v>
      </c>
      <c r="C468" t="s">
        <v>923</v>
      </c>
      <c r="D468" t="s">
        <v>26</v>
      </c>
      <c r="E468">
        <v>175</v>
      </c>
      <c r="F468">
        <v>85.5</v>
      </c>
      <c r="G468" t="s">
        <v>21</v>
      </c>
      <c r="H468" t="s">
        <v>924</v>
      </c>
      <c r="I468" t="s">
        <v>23</v>
      </c>
      <c r="J468" s="4" t="str">
        <f t="shared" si="7"/>
        <v>EICHERMOT</v>
      </c>
    </row>
    <row r="469" spans="1:10" x14ac:dyDescent="0.35">
      <c r="A469" s="1">
        <v>46008.455451388887</v>
      </c>
      <c r="B469" t="s">
        <v>915</v>
      </c>
      <c r="C469" t="s">
        <v>916</v>
      </c>
      <c r="D469" t="s">
        <v>20</v>
      </c>
      <c r="E469">
        <v>75</v>
      </c>
      <c r="F469">
        <v>118.7</v>
      </c>
      <c r="G469" t="s">
        <v>21</v>
      </c>
      <c r="H469" t="s">
        <v>925</v>
      </c>
      <c r="I469" t="s">
        <v>23</v>
      </c>
      <c r="J469" s="4" t="str">
        <f t="shared" si="7"/>
        <v>NIFTY</v>
      </c>
    </row>
    <row r="470" spans="1:10" x14ac:dyDescent="0.35">
      <c r="A470" s="1">
        <v>46008.455729166664</v>
      </c>
      <c r="B470" t="s">
        <v>911</v>
      </c>
      <c r="C470" t="s">
        <v>912</v>
      </c>
      <c r="D470" t="s">
        <v>20</v>
      </c>
      <c r="E470">
        <v>150</v>
      </c>
      <c r="F470">
        <v>74.95</v>
      </c>
      <c r="G470" t="s">
        <v>21</v>
      </c>
      <c r="H470" t="s">
        <v>926</v>
      </c>
      <c r="I470" t="s">
        <v>23</v>
      </c>
      <c r="J470" s="4" t="str">
        <f t="shared" si="7"/>
        <v>NIFTY</v>
      </c>
    </row>
    <row r="471" spans="1:10" x14ac:dyDescent="0.35">
      <c r="A471" s="1">
        <v>46008.460416666669</v>
      </c>
      <c r="B471" t="s">
        <v>927</v>
      </c>
      <c r="C471" t="s">
        <v>928</v>
      </c>
      <c r="D471" t="s">
        <v>26</v>
      </c>
      <c r="E471">
        <v>375</v>
      </c>
      <c r="F471">
        <v>158.76</v>
      </c>
      <c r="G471" t="s">
        <v>21</v>
      </c>
      <c r="H471" t="s">
        <v>929</v>
      </c>
      <c r="I471" t="s">
        <v>23</v>
      </c>
      <c r="J471" s="4" t="str">
        <f t="shared" si="7"/>
        <v>NIFTY</v>
      </c>
    </row>
    <row r="472" spans="1:10" x14ac:dyDescent="0.35">
      <c r="A472" s="1">
        <v>46008.524629629632</v>
      </c>
      <c r="B472" t="s">
        <v>930</v>
      </c>
      <c r="C472" t="s">
        <v>931</v>
      </c>
      <c r="D472" t="s">
        <v>26</v>
      </c>
      <c r="E472">
        <v>75</v>
      </c>
      <c r="F472">
        <v>166.8</v>
      </c>
      <c r="G472" t="s">
        <v>21</v>
      </c>
      <c r="H472" t="s">
        <v>932</v>
      </c>
      <c r="I472" t="s">
        <v>23</v>
      </c>
      <c r="J472" s="4" t="str">
        <f t="shared" si="7"/>
        <v>NIFTY</v>
      </c>
    </row>
    <row r="473" spans="1:10" x14ac:dyDescent="0.35">
      <c r="A473" s="1">
        <v>46008.524699074071</v>
      </c>
      <c r="B473" t="s">
        <v>930</v>
      </c>
      <c r="C473" t="s">
        <v>931</v>
      </c>
      <c r="D473" t="s">
        <v>20</v>
      </c>
      <c r="E473">
        <v>75</v>
      </c>
      <c r="F473">
        <v>165.8</v>
      </c>
      <c r="G473" t="s">
        <v>21</v>
      </c>
      <c r="H473" t="s">
        <v>933</v>
      </c>
      <c r="I473" t="s">
        <v>23</v>
      </c>
      <c r="J473" s="4" t="str">
        <f t="shared" si="7"/>
        <v>NIFTY</v>
      </c>
    </row>
    <row r="474" spans="1:10" x14ac:dyDescent="0.35">
      <c r="A474" s="1">
        <v>46008.532835648148</v>
      </c>
      <c r="B474" t="s">
        <v>930</v>
      </c>
      <c r="C474" t="s">
        <v>931</v>
      </c>
      <c r="D474" t="s">
        <v>26</v>
      </c>
      <c r="E474">
        <v>75</v>
      </c>
      <c r="F474">
        <v>169.5</v>
      </c>
      <c r="G474" t="s">
        <v>21</v>
      </c>
      <c r="H474" t="s">
        <v>934</v>
      </c>
      <c r="I474" t="s">
        <v>23</v>
      </c>
      <c r="J474" s="4" t="str">
        <f t="shared" si="7"/>
        <v>NIFTY</v>
      </c>
    </row>
    <row r="475" spans="1:10" x14ac:dyDescent="0.35">
      <c r="A475" s="1">
        <v>46008.557974537034</v>
      </c>
      <c r="B475" t="s">
        <v>922</v>
      </c>
      <c r="C475" t="s">
        <v>923</v>
      </c>
      <c r="D475" t="s">
        <v>20</v>
      </c>
      <c r="E475">
        <v>175</v>
      </c>
      <c r="F475">
        <v>75.400000000000006</v>
      </c>
      <c r="G475" t="s">
        <v>21</v>
      </c>
      <c r="H475" t="s">
        <v>935</v>
      </c>
      <c r="I475" t="s">
        <v>23</v>
      </c>
      <c r="J475" s="4" t="str">
        <f t="shared" si="7"/>
        <v>EICHERMOT</v>
      </c>
    </row>
    <row r="476" spans="1:10" x14ac:dyDescent="0.35">
      <c r="A476" s="1">
        <v>46008.580810185187</v>
      </c>
      <c r="B476" t="s">
        <v>930</v>
      </c>
      <c r="C476" t="s">
        <v>931</v>
      </c>
      <c r="D476" t="s">
        <v>20</v>
      </c>
      <c r="E476">
        <v>75</v>
      </c>
      <c r="F476">
        <v>154.6</v>
      </c>
      <c r="G476" t="s">
        <v>21</v>
      </c>
      <c r="H476" t="s">
        <v>936</v>
      </c>
      <c r="I476" t="s">
        <v>23</v>
      </c>
      <c r="J476" s="4" t="str">
        <f t="shared" si="7"/>
        <v>NIFTY</v>
      </c>
    </row>
    <row r="477" spans="1:10" x14ac:dyDescent="0.35">
      <c r="A477" s="1">
        <v>46008.587500000001</v>
      </c>
      <c r="B477" t="s">
        <v>937</v>
      </c>
      <c r="C477" t="s">
        <v>938</v>
      </c>
      <c r="D477" t="s">
        <v>26</v>
      </c>
      <c r="E477">
        <v>1225</v>
      </c>
      <c r="F477">
        <v>16.2</v>
      </c>
      <c r="G477" t="s">
        <v>21</v>
      </c>
      <c r="H477" t="s">
        <v>939</v>
      </c>
      <c r="I477" t="s">
        <v>23</v>
      </c>
      <c r="J477" s="4" t="str">
        <f t="shared" si="7"/>
        <v>HINDZINC</v>
      </c>
    </row>
    <row r="478" spans="1:10" x14ac:dyDescent="0.35">
      <c r="A478" s="1">
        <v>46008.611168981479</v>
      </c>
      <c r="B478" t="s">
        <v>919</v>
      </c>
      <c r="C478" t="s">
        <v>920</v>
      </c>
      <c r="D478" t="s">
        <v>20</v>
      </c>
      <c r="E478">
        <v>6750</v>
      </c>
      <c r="F478">
        <v>1.33</v>
      </c>
      <c r="G478" t="s">
        <v>21</v>
      </c>
      <c r="H478" t="s">
        <v>940</v>
      </c>
      <c r="I478" t="s">
        <v>23</v>
      </c>
      <c r="J478" s="4" t="str">
        <f t="shared" si="7"/>
        <v>NMDC</v>
      </c>
    </row>
    <row r="479" spans="1:10" x14ac:dyDescent="0.35">
      <c r="A479" s="1">
        <v>46008.643854166665</v>
      </c>
      <c r="B479" t="s">
        <v>908</v>
      </c>
      <c r="C479" t="s">
        <v>909</v>
      </c>
      <c r="D479" t="s">
        <v>26</v>
      </c>
      <c r="E479">
        <v>35</v>
      </c>
      <c r="F479">
        <v>538</v>
      </c>
      <c r="G479" t="s">
        <v>21</v>
      </c>
      <c r="H479" t="s">
        <v>941</v>
      </c>
      <c r="I479" t="s">
        <v>23</v>
      </c>
      <c r="J479" s="4" t="str">
        <f t="shared" si="7"/>
        <v>BANKNIFTY</v>
      </c>
    </row>
    <row r="480" spans="1:10" x14ac:dyDescent="0.35">
      <c r="A480" s="1">
        <v>46009.51222222222</v>
      </c>
      <c r="B480" t="s">
        <v>927</v>
      </c>
      <c r="C480" t="s">
        <v>928</v>
      </c>
      <c r="D480" t="s">
        <v>20</v>
      </c>
      <c r="E480">
        <v>75</v>
      </c>
      <c r="F480">
        <v>175</v>
      </c>
      <c r="G480" t="s">
        <v>21</v>
      </c>
      <c r="H480" t="s">
        <v>942</v>
      </c>
      <c r="I480" t="s">
        <v>23</v>
      </c>
      <c r="J480" s="4" t="str">
        <f t="shared" si="7"/>
        <v>NIFTY</v>
      </c>
    </row>
    <row r="481" spans="1:10" x14ac:dyDescent="0.35">
      <c r="A481" s="1">
        <v>46009.524375000001</v>
      </c>
      <c r="B481" t="s">
        <v>927</v>
      </c>
      <c r="C481" t="s">
        <v>928</v>
      </c>
      <c r="D481" t="s">
        <v>20</v>
      </c>
      <c r="E481">
        <v>75</v>
      </c>
      <c r="F481">
        <v>180</v>
      </c>
      <c r="G481" t="s">
        <v>21</v>
      </c>
      <c r="H481" t="s">
        <v>943</v>
      </c>
      <c r="I481" t="s">
        <v>23</v>
      </c>
      <c r="J481" s="4" t="str">
        <f t="shared" si="7"/>
        <v>NIFTY</v>
      </c>
    </row>
    <row r="482" spans="1:10" x14ac:dyDescent="0.35">
      <c r="A482" s="1">
        <v>46009.554710648146</v>
      </c>
      <c r="B482" t="s">
        <v>927</v>
      </c>
      <c r="C482" t="s">
        <v>928</v>
      </c>
      <c r="D482" t="s">
        <v>20</v>
      </c>
      <c r="E482">
        <v>75</v>
      </c>
      <c r="F482">
        <v>162.25</v>
      </c>
      <c r="G482" t="s">
        <v>21</v>
      </c>
      <c r="H482" t="s">
        <v>944</v>
      </c>
      <c r="I482" t="s">
        <v>23</v>
      </c>
      <c r="J482" s="4" t="str">
        <f t="shared" si="7"/>
        <v>NIFTY</v>
      </c>
    </row>
    <row r="483" spans="1:10" x14ac:dyDescent="0.35">
      <c r="A483" s="1">
        <v>46009.557060185187</v>
      </c>
      <c r="B483" t="s">
        <v>908</v>
      </c>
      <c r="C483" t="s">
        <v>909</v>
      </c>
      <c r="D483" t="s">
        <v>20</v>
      </c>
      <c r="E483">
        <v>35</v>
      </c>
      <c r="F483">
        <v>558.79999999999995</v>
      </c>
      <c r="G483" t="s">
        <v>21</v>
      </c>
      <c r="H483" t="s">
        <v>945</v>
      </c>
      <c r="I483" t="s">
        <v>23</v>
      </c>
      <c r="J483" s="4" t="str">
        <f t="shared" si="7"/>
        <v>BANKNIFTY</v>
      </c>
    </row>
    <row r="484" spans="1:10" x14ac:dyDescent="0.35">
      <c r="A484" s="1">
        <v>46009.564513888887</v>
      </c>
      <c r="B484" t="s">
        <v>937</v>
      </c>
      <c r="C484" t="s">
        <v>938</v>
      </c>
      <c r="D484" t="s">
        <v>20</v>
      </c>
      <c r="E484">
        <v>1225</v>
      </c>
      <c r="F484">
        <v>25.15</v>
      </c>
      <c r="G484" t="s">
        <v>21</v>
      </c>
      <c r="H484" t="s">
        <v>946</v>
      </c>
      <c r="I484" t="s">
        <v>23</v>
      </c>
      <c r="J484" s="4" t="str">
        <f t="shared" si="7"/>
        <v>HINDZINC</v>
      </c>
    </row>
    <row r="485" spans="1:10" x14ac:dyDescent="0.35">
      <c r="A485" s="1">
        <v>46009.643287037034</v>
      </c>
      <c r="B485" t="s">
        <v>927</v>
      </c>
      <c r="C485" t="s">
        <v>928</v>
      </c>
      <c r="D485" t="s">
        <v>20</v>
      </c>
      <c r="E485">
        <v>150</v>
      </c>
      <c r="F485">
        <v>119.8</v>
      </c>
      <c r="G485" t="s">
        <v>21</v>
      </c>
      <c r="H485" t="s">
        <v>947</v>
      </c>
      <c r="I485" t="s">
        <v>23</v>
      </c>
      <c r="J485" s="4" t="str">
        <f t="shared" si="7"/>
        <v>NIFTY</v>
      </c>
    </row>
    <row r="486" spans="1:10" x14ac:dyDescent="0.35">
      <c r="A486" s="1">
        <v>46013.405324074076</v>
      </c>
      <c r="B486" t="s">
        <v>948</v>
      </c>
      <c r="C486" t="s">
        <v>949</v>
      </c>
      <c r="D486" t="s">
        <v>26</v>
      </c>
      <c r="E486">
        <v>75</v>
      </c>
      <c r="F486">
        <v>148.6</v>
      </c>
      <c r="G486" t="s">
        <v>21</v>
      </c>
      <c r="H486" t="s">
        <v>950</v>
      </c>
      <c r="I486" t="s">
        <v>23</v>
      </c>
      <c r="J486" s="4" t="str">
        <f t="shared" si="7"/>
        <v>NIFTY</v>
      </c>
    </row>
    <row r="487" spans="1:10" x14ac:dyDescent="0.35">
      <c r="A487" s="1">
        <v>46013.415694444448</v>
      </c>
      <c r="B487" t="s">
        <v>951</v>
      </c>
      <c r="C487" t="s">
        <v>952</v>
      </c>
      <c r="D487" t="s">
        <v>26</v>
      </c>
      <c r="E487">
        <v>35</v>
      </c>
      <c r="F487">
        <v>327.39999999999998</v>
      </c>
      <c r="G487" t="s">
        <v>21</v>
      </c>
      <c r="H487" t="s">
        <v>953</v>
      </c>
      <c r="I487" t="s">
        <v>23</v>
      </c>
      <c r="J487" s="4" t="str">
        <f t="shared" si="7"/>
        <v>BANKNIFTY</v>
      </c>
    </row>
    <row r="488" spans="1:10" x14ac:dyDescent="0.35">
      <c r="A488" s="1">
        <v>46013.426631944443</v>
      </c>
      <c r="B488" t="s">
        <v>954</v>
      </c>
      <c r="C488" t="s">
        <v>955</v>
      </c>
      <c r="D488" t="s">
        <v>26</v>
      </c>
      <c r="E488">
        <v>275</v>
      </c>
      <c r="F488">
        <v>52.6</v>
      </c>
      <c r="G488" t="s">
        <v>21</v>
      </c>
      <c r="H488" t="s">
        <v>956</v>
      </c>
      <c r="I488" t="s">
        <v>23</v>
      </c>
      <c r="J488" s="4" t="str">
        <f t="shared" si="7"/>
        <v>MPHASIS</v>
      </c>
    </row>
    <row r="489" spans="1:10" x14ac:dyDescent="0.35">
      <c r="A489" s="1">
        <v>46013.439027777778</v>
      </c>
      <c r="B489" t="s">
        <v>951</v>
      </c>
      <c r="C489" t="s">
        <v>952</v>
      </c>
      <c r="D489" t="s">
        <v>26</v>
      </c>
      <c r="E489">
        <v>35</v>
      </c>
      <c r="F489">
        <v>319.89999999999998</v>
      </c>
      <c r="G489" t="s">
        <v>21</v>
      </c>
      <c r="H489" t="s">
        <v>957</v>
      </c>
      <c r="I489" t="s">
        <v>23</v>
      </c>
      <c r="J489" s="4" t="str">
        <f t="shared" si="7"/>
        <v>BANKNIFTY</v>
      </c>
    </row>
    <row r="490" spans="1:10" x14ac:dyDescent="0.35">
      <c r="A490" s="1">
        <v>46013.468819444446</v>
      </c>
      <c r="B490" t="s">
        <v>958</v>
      </c>
      <c r="C490" t="s">
        <v>959</v>
      </c>
      <c r="D490" t="s">
        <v>26</v>
      </c>
      <c r="E490">
        <v>1000</v>
      </c>
      <c r="F490">
        <v>8.35</v>
      </c>
      <c r="G490" t="s">
        <v>21</v>
      </c>
      <c r="H490" t="s">
        <v>960</v>
      </c>
      <c r="I490" t="s">
        <v>23</v>
      </c>
      <c r="J490" s="4" t="str">
        <f t="shared" si="7"/>
        <v>JSWENERGY</v>
      </c>
    </row>
    <row r="491" spans="1:10" x14ac:dyDescent="0.35">
      <c r="A491" s="1">
        <v>46013.521863425929</v>
      </c>
      <c r="B491" t="s">
        <v>961</v>
      </c>
      <c r="C491" t="s">
        <v>962</v>
      </c>
      <c r="D491" t="s">
        <v>26</v>
      </c>
      <c r="E491">
        <v>150</v>
      </c>
      <c r="F491">
        <v>80.25</v>
      </c>
      <c r="G491" t="s">
        <v>21</v>
      </c>
      <c r="H491" t="s">
        <v>963</v>
      </c>
      <c r="I491" t="s">
        <v>23</v>
      </c>
      <c r="J491" s="4" t="str">
        <f t="shared" si="7"/>
        <v>LTIM</v>
      </c>
    </row>
    <row r="492" spans="1:10" x14ac:dyDescent="0.35">
      <c r="A492" s="1">
        <v>46013.561979166669</v>
      </c>
      <c r="B492" t="s">
        <v>964</v>
      </c>
      <c r="C492" t="s">
        <v>965</v>
      </c>
      <c r="D492" t="s">
        <v>26</v>
      </c>
      <c r="E492">
        <v>275</v>
      </c>
      <c r="F492">
        <v>43.95</v>
      </c>
      <c r="G492" t="s">
        <v>21</v>
      </c>
      <c r="H492" t="s">
        <v>966</v>
      </c>
      <c r="I492" t="s">
        <v>23</v>
      </c>
      <c r="J492" s="4" t="str">
        <f t="shared" si="7"/>
        <v>MPHASIS</v>
      </c>
    </row>
    <row r="493" spans="1:10" x14ac:dyDescent="0.35">
      <c r="A493" s="1">
        <v>46013.566793981481</v>
      </c>
      <c r="B493" t="s">
        <v>954</v>
      </c>
      <c r="C493" t="s">
        <v>955</v>
      </c>
      <c r="D493" t="s">
        <v>20</v>
      </c>
      <c r="E493">
        <v>275</v>
      </c>
      <c r="F493">
        <v>63.3</v>
      </c>
      <c r="G493" t="s">
        <v>21</v>
      </c>
      <c r="H493" t="s">
        <v>967</v>
      </c>
      <c r="I493" t="s">
        <v>23</v>
      </c>
      <c r="J493" s="4" t="str">
        <f t="shared" si="7"/>
        <v>MPHASIS</v>
      </c>
    </row>
    <row r="494" spans="1:10" x14ac:dyDescent="0.35">
      <c r="A494" s="1">
        <v>46013.567708333336</v>
      </c>
      <c r="B494" t="s">
        <v>964</v>
      </c>
      <c r="C494" t="s">
        <v>965</v>
      </c>
      <c r="D494" t="s">
        <v>26</v>
      </c>
      <c r="E494">
        <v>275</v>
      </c>
      <c r="F494">
        <v>36.4</v>
      </c>
      <c r="G494" t="s">
        <v>21</v>
      </c>
      <c r="H494" t="s">
        <v>968</v>
      </c>
      <c r="I494" t="s">
        <v>23</v>
      </c>
      <c r="J494" s="4" t="str">
        <f t="shared" si="7"/>
        <v>MPHASIS</v>
      </c>
    </row>
    <row r="495" spans="1:10" x14ac:dyDescent="0.35">
      <c r="A495" s="1">
        <v>46013.584988425922</v>
      </c>
      <c r="B495" t="s">
        <v>961</v>
      </c>
      <c r="C495" t="s">
        <v>962</v>
      </c>
      <c r="D495" t="s">
        <v>20</v>
      </c>
      <c r="E495">
        <v>150</v>
      </c>
      <c r="F495">
        <v>83.7</v>
      </c>
      <c r="G495" t="s">
        <v>21</v>
      </c>
      <c r="H495" t="s">
        <v>969</v>
      </c>
      <c r="I495" t="s">
        <v>23</v>
      </c>
      <c r="J495" s="4" t="str">
        <f t="shared" si="7"/>
        <v>LTIM</v>
      </c>
    </row>
    <row r="496" spans="1:10" x14ac:dyDescent="0.35">
      <c r="A496" s="1">
        <v>46013.609791666669</v>
      </c>
      <c r="B496" t="s">
        <v>970</v>
      </c>
      <c r="C496" t="s">
        <v>971</v>
      </c>
      <c r="D496" t="s">
        <v>26</v>
      </c>
      <c r="E496">
        <v>150</v>
      </c>
      <c r="F496">
        <v>145.19999999999999</v>
      </c>
      <c r="G496" t="s">
        <v>21</v>
      </c>
      <c r="H496" t="s">
        <v>972</v>
      </c>
      <c r="I496" t="s">
        <v>23</v>
      </c>
      <c r="J496" s="4" t="str">
        <f t="shared" si="7"/>
        <v>LTIM</v>
      </c>
    </row>
    <row r="497" spans="1:10" x14ac:dyDescent="0.35">
      <c r="A497" s="1">
        <v>46013.625462962962</v>
      </c>
      <c r="B497" t="s">
        <v>973</v>
      </c>
      <c r="C497" t="s">
        <v>974</v>
      </c>
      <c r="D497" t="s">
        <v>26</v>
      </c>
      <c r="E497">
        <v>50</v>
      </c>
      <c r="F497">
        <v>130.94999999999999</v>
      </c>
      <c r="G497" t="s">
        <v>21</v>
      </c>
      <c r="H497" t="s">
        <v>975</v>
      </c>
      <c r="I497" t="s">
        <v>23</v>
      </c>
      <c r="J497" s="4" t="str">
        <f t="shared" si="7"/>
        <v>MARUTI</v>
      </c>
    </row>
    <row r="498" spans="1:10" x14ac:dyDescent="0.35">
      <c r="A498" s="1">
        <v>46013.638333333336</v>
      </c>
      <c r="B498" t="s">
        <v>973</v>
      </c>
      <c r="C498" t="s">
        <v>974</v>
      </c>
      <c r="D498" t="s">
        <v>20</v>
      </c>
      <c r="E498">
        <v>50</v>
      </c>
      <c r="F498">
        <v>171.6</v>
      </c>
      <c r="G498" t="s">
        <v>21</v>
      </c>
      <c r="H498" t="s">
        <v>976</v>
      </c>
      <c r="I498" t="s">
        <v>23</v>
      </c>
      <c r="J498" s="4" t="str">
        <f t="shared" si="7"/>
        <v>MARUTI</v>
      </c>
    </row>
    <row r="499" spans="1:10" x14ac:dyDescent="0.35">
      <c r="A499" s="1">
        <v>46013.640138888892</v>
      </c>
      <c r="B499" t="s">
        <v>948</v>
      </c>
      <c r="C499" t="s">
        <v>949</v>
      </c>
      <c r="D499" t="s">
        <v>20</v>
      </c>
      <c r="E499">
        <v>75</v>
      </c>
      <c r="F499">
        <v>155.15</v>
      </c>
      <c r="G499" t="s">
        <v>21</v>
      </c>
      <c r="H499" t="s">
        <v>977</v>
      </c>
      <c r="I499" t="s">
        <v>23</v>
      </c>
      <c r="J499" s="4" t="str">
        <f t="shared" si="7"/>
        <v>NIFTY</v>
      </c>
    </row>
    <row r="500" spans="1:10" x14ac:dyDescent="0.35">
      <c r="A500" s="1">
        <v>46013.643645833334</v>
      </c>
      <c r="B500" t="s">
        <v>978</v>
      </c>
      <c r="C500" t="s">
        <v>979</v>
      </c>
      <c r="D500" t="s">
        <v>26</v>
      </c>
      <c r="E500">
        <v>500</v>
      </c>
      <c r="F500">
        <v>40.1</v>
      </c>
      <c r="G500" t="s">
        <v>21</v>
      </c>
      <c r="H500" t="s">
        <v>980</v>
      </c>
      <c r="I500" t="s">
        <v>23</v>
      </c>
      <c r="J500" s="4" t="str">
        <f t="shared" si="7"/>
        <v>RELIANCE</v>
      </c>
    </row>
    <row r="501" spans="1:10" x14ac:dyDescent="0.35">
      <c r="A501" s="1">
        <v>46013.645694444444</v>
      </c>
      <c r="B501" t="s">
        <v>981</v>
      </c>
      <c r="C501" t="s">
        <v>982</v>
      </c>
      <c r="D501" t="s">
        <v>26</v>
      </c>
      <c r="E501">
        <v>1975</v>
      </c>
      <c r="F501">
        <v>8.9</v>
      </c>
      <c r="G501" t="s">
        <v>21</v>
      </c>
      <c r="H501" t="s">
        <v>983</v>
      </c>
      <c r="I501" t="s">
        <v>23</v>
      </c>
      <c r="J501" s="4" t="str">
        <f t="shared" si="7"/>
        <v>BPCL</v>
      </c>
    </row>
    <row r="502" spans="1:10" x14ac:dyDescent="0.35">
      <c r="A502" s="1">
        <v>46014.390717592592</v>
      </c>
      <c r="B502" t="s">
        <v>951</v>
      </c>
      <c r="C502" t="s">
        <v>952</v>
      </c>
      <c r="D502" t="s">
        <v>20</v>
      </c>
      <c r="E502">
        <v>70</v>
      </c>
      <c r="F502">
        <v>317.625</v>
      </c>
      <c r="G502" t="s">
        <v>21</v>
      </c>
      <c r="H502" t="s">
        <v>984</v>
      </c>
      <c r="I502" t="s">
        <v>23</v>
      </c>
      <c r="J502" s="4" t="str">
        <f t="shared" si="7"/>
        <v>BANKNIFTY</v>
      </c>
    </row>
    <row r="503" spans="1:10" x14ac:dyDescent="0.35">
      <c r="A503" s="1">
        <v>46014.391342592593</v>
      </c>
      <c r="B503" t="s">
        <v>981</v>
      </c>
      <c r="C503" t="s">
        <v>982</v>
      </c>
      <c r="D503" t="s">
        <v>20</v>
      </c>
      <c r="E503">
        <v>1975</v>
      </c>
      <c r="F503">
        <v>8.6</v>
      </c>
      <c r="G503" t="s">
        <v>21</v>
      </c>
      <c r="H503" t="s">
        <v>985</v>
      </c>
      <c r="I503" t="s">
        <v>23</v>
      </c>
      <c r="J503" s="4" t="str">
        <f t="shared" si="7"/>
        <v>BPCL</v>
      </c>
    </row>
    <row r="504" spans="1:10" x14ac:dyDescent="0.35">
      <c r="A504" s="1">
        <v>46014.603506944448</v>
      </c>
      <c r="B504" t="s">
        <v>872</v>
      </c>
      <c r="C504" t="s">
        <v>873</v>
      </c>
      <c r="D504" t="s">
        <v>20</v>
      </c>
      <c r="E504">
        <v>75</v>
      </c>
      <c r="F504">
        <v>20.3</v>
      </c>
      <c r="G504" t="s">
        <v>21</v>
      </c>
      <c r="H504" t="s">
        <v>986</v>
      </c>
      <c r="I504" t="s">
        <v>23</v>
      </c>
      <c r="J504" s="4" t="str">
        <f t="shared" si="7"/>
        <v>NIFTY</v>
      </c>
    </row>
    <row r="505" spans="1:10" x14ac:dyDescent="0.35">
      <c r="A505" s="1">
        <v>46014.640046296299</v>
      </c>
      <c r="B505" t="s">
        <v>958</v>
      </c>
      <c r="C505" t="s">
        <v>959</v>
      </c>
      <c r="D505" t="s">
        <v>20</v>
      </c>
      <c r="E505">
        <v>1000</v>
      </c>
      <c r="F505">
        <v>9.25</v>
      </c>
      <c r="G505" t="s">
        <v>21</v>
      </c>
      <c r="H505" t="s">
        <v>987</v>
      </c>
      <c r="I505" t="s">
        <v>23</v>
      </c>
      <c r="J505" s="4" t="str">
        <f t="shared" si="7"/>
        <v>JSWENERGY</v>
      </c>
    </row>
    <row r="506" spans="1:10" x14ac:dyDescent="0.35">
      <c r="A506" s="1">
        <v>46014.640115740738</v>
      </c>
      <c r="B506" t="s">
        <v>964</v>
      </c>
      <c r="C506" t="s">
        <v>965</v>
      </c>
      <c r="D506" t="s">
        <v>20</v>
      </c>
      <c r="E506">
        <v>550</v>
      </c>
      <c r="F506">
        <v>60.125</v>
      </c>
      <c r="G506" t="s">
        <v>21</v>
      </c>
      <c r="H506" t="s">
        <v>988</v>
      </c>
      <c r="I506" t="s">
        <v>23</v>
      </c>
      <c r="J506" s="4" t="str">
        <f t="shared" si="7"/>
        <v>MPHASIS</v>
      </c>
    </row>
    <row r="507" spans="1:10" x14ac:dyDescent="0.35">
      <c r="A507" s="1">
        <v>46021.58997685185</v>
      </c>
      <c r="B507" t="s">
        <v>970</v>
      </c>
      <c r="C507" t="s">
        <v>971</v>
      </c>
      <c r="D507" t="s">
        <v>20</v>
      </c>
      <c r="E507">
        <v>150</v>
      </c>
      <c r="F507">
        <v>2.8</v>
      </c>
      <c r="G507" t="s">
        <v>21</v>
      </c>
      <c r="H507" t="s">
        <v>989</v>
      </c>
      <c r="I507" t="s">
        <v>23</v>
      </c>
      <c r="J507" s="4" t="str">
        <f t="shared" si="7"/>
        <v>LTIM</v>
      </c>
    </row>
    <row r="508" spans="1:10" x14ac:dyDescent="0.35">
      <c r="A508" s="1">
        <v>46022.521770833337</v>
      </c>
      <c r="B508" t="s">
        <v>990</v>
      </c>
      <c r="C508" t="s">
        <v>991</v>
      </c>
      <c r="D508" t="s">
        <v>26</v>
      </c>
      <c r="E508">
        <v>130</v>
      </c>
      <c r="F508">
        <v>117.05</v>
      </c>
      <c r="G508" t="s">
        <v>21</v>
      </c>
      <c r="H508" t="s">
        <v>992</v>
      </c>
      <c r="I508" t="s">
        <v>23</v>
      </c>
      <c r="J508" s="4" t="str">
        <f t="shared" si="7"/>
        <v>NIFTY</v>
      </c>
    </row>
    <row r="509" spans="1:10" x14ac:dyDescent="0.35">
      <c r="A509" s="1">
        <v>46022.531018518515</v>
      </c>
      <c r="B509" t="s">
        <v>990</v>
      </c>
      <c r="C509" t="s">
        <v>991</v>
      </c>
      <c r="D509" t="s">
        <v>20</v>
      </c>
      <c r="E509">
        <v>130</v>
      </c>
      <c r="F509">
        <v>125.7</v>
      </c>
      <c r="G509" t="s">
        <v>21</v>
      </c>
      <c r="H509" t="s">
        <v>993</v>
      </c>
      <c r="I509" t="s">
        <v>23</v>
      </c>
      <c r="J509" s="4" t="str">
        <f t="shared" si="7"/>
        <v>NIFTY</v>
      </c>
    </row>
    <row r="510" spans="1:10" x14ac:dyDescent="0.35">
      <c r="A510" s="1">
        <v>46022.532465277778</v>
      </c>
      <c r="B510" t="s">
        <v>994</v>
      </c>
      <c r="C510" t="s">
        <v>995</v>
      </c>
      <c r="D510" t="s">
        <v>26</v>
      </c>
      <c r="E510">
        <v>65</v>
      </c>
      <c r="F510">
        <v>109.65</v>
      </c>
      <c r="G510" t="s">
        <v>21</v>
      </c>
      <c r="H510" t="s">
        <v>996</v>
      </c>
      <c r="I510" t="s">
        <v>23</v>
      </c>
      <c r="J510" s="4" t="str">
        <f t="shared" si="7"/>
        <v>NIFTY</v>
      </c>
    </row>
    <row r="511" spans="1:10" x14ac:dyDescent="0.35">
      <c r="A511" s="1">
        <v>46022.54010416667</v>
      </c>
      <c r="B511" t="s">
        <v>994</v>
      </c>
      <c r="C511" t="s">
        <v>995</v>
      </c>
      <c r="D511" t="s">
        <v>20</v>
      </c>
      <c r="E511">
        <v>65</v>
      </c>
      <c r="F511">
        <v>128.19999999999999</v>
      </c>
      <c r="G511" t="s">
        <v>21</v>
      </c>
      <c r="H511" t="s">
        <v>997</v>
      </c>
      <c r="I511" t="s">
        <v>23</v>
      </c>
      <c r="J511" s="4" t="str">
        <f t="shared" si="7"/>
        <v>NIFTY</v>
      </c>
    </row>
    <row r="512" spans="1:10" x14ac:dyDescent="0.35">
      <c r="A512" s="1">
        <v>46022.55060185185</v>
      </c>
      <c r="B512" t="s">
        <v>998</v>
      </c>
      <c r="C512" t="s">
        <v>999</v>
      </c>
      <c r="D512" t="s">
        <v>26</v>
      </c>
      <c r="E512">
        <v>60</v>
      </c>
      <c r="F512">
        <v>795.25</v>
      </c>
      <c r="G512" t="s">
        <v>21</v>
      </c>
      <c r="H512" t="s">
        <v>1000</v>
      </c>
      <c r="I512" t="s">
        <v>23</v>
      </c>
      <c r="J512" s="4" t="str">
        <f t="shared" si="7"/>
        <v>BANKNIFTY</v>
      </c>
    </row>
    <row r="513" spans="1:10" x14ac:dyDescent="0.35">
      <c r="A513" s="1">
        <v>46022.584826388891</v>
      </c>
      <c r="B513" t="s">
        <v>998</v>
      </c>
      <c r="C513" t="s">
        <v>999</v>
      </c>
      <c r="D513" t="s">
        <v>20</v>
      </c>
      <c r="E513">
        <v>60</v>
      </c>
      <c r="F513">
        <v>775</v>
      </c>
      <c r="G513" t="s">
        <v>21</v>
      </c>
      <c r="H513" t="s">
        <v>1001</v>
      </c>
      <c r="I513" t="s">
        <v>23</v>
      </c>
      <c r="J513" s="4" t="str">
        <f t="shared" si="7"/>
        <v>BANKNIFTY</v>
      </c>
    </row>
    <row r="514" spans="1:10" x14ac:dyDescent="0.35">
      <c r="A514" s="1">
        <v>46022.588877314818</v>
      </c>
      <c r="B514" t="s">
        <v>998</v>
      </c>
      <c r="C514" t="s">
        <v>999</v>
      </c>
      <c r="D514" t="s">
        <v>26</v>
      </c>
      <c r="E514">
        <v>30</v>
      </c>
      <c r="F514">
        <v>790.5</v>
      </c>
      <c r="G514" t="s">
        <v>21</v>
      </c>
      <c r="H514" t="s">
        <v>1002</v>
      </c>
      <c r="I514" t="s">
        <v>23</v>
      </c>
      <c r="J514" s="4" t="str">
        <f t="shared" si="7"/>
        <v>BANKNIFTY</v>
      </c>
    </row>
    <row r="515" spans="1:10" x14ac:dyDescent="0.35">
      <c r="A515" s="1">
        <v>46022.627662037034</v>
      </c>
      <c r="B515" t="s">
        <v>1003</v>
      </c>
      <c r="C515" t="s">
        <v>1004</v>
      </c>
      <c r="D515" t="s">
        <v>26</v>
      </c>
      <c r="E515">
        <v>30</v>
      </c>
      <c r="F515">
        <v>520</v>
      </c>
      <c r="G515" t="s">
        <v>21</v>
      </c>
      <c r="H515" t="s">
        <v>1005</v>
      </c>
      <c r="I515" t="s">
        <v>23</v>
      </c>
      <c r="J515" s="4" t="str">
        <f t="shared" si="7"/>
        <v>BANKNIFTY</v>
      </c>
    </row>
    <row r="516" spans="1:10" x14ac:dyDescent="0.35">
      <c r="A516" s="1">
        <v>46022.63653935185</v>
      </c>
      <c r="B516" t="s">
        <v>1006</v>
      </c>
      <c r="C516" t="s">
        <v>1007</v>
      </c>
      <c r="D516" t="s">
        <v>26</v>
      </c>
      <c r="E516">
        <v>30</v>
      </c>
      <c r="F516">
        <v>564.25</v>
      </c>
      <c r="G516" t="s">
        <v>21</v>
      </c>
      <c r="H516" t="s">
        <v>1008</v>
      </c>
      <c r="I516" t="s">
        <v>23</v>
      </c>
      <c r="J516" s="4" t="str">
        <f t="shared" si="7"/>
        <v>BANKNIFTY</v>
      </c>
    </row>
    <row r="517" spans="1:10" x14ac:dyDescent="0.35">
      <c r="A517" s="1">
        <v>46022.643252314818</v>
      </c>
      <c r="B517" t="s">
        <v>1009</v>
      </c>
      <c r="C517" t="s">
        <v>1010</v>
      </c>
      <c r="D517" t="s">
        <v>26</v>
      </c>
      <c r="E517">
        <v>65</v>
      </c>
      <c r="F517">
        <v>45.65</v>
      </c>
      <c r="G517" t="s">
        <v>21</v>
      </c>
      <c r="H517" t="s">
        <v>1011</v>
      </c>
      <c r="I517" t="s">
        <v>23</v>
      </c>
      <c r="J517" s="4" t="str">
        <f t="shared" si="7"/>
        <v>NIFTY</v>
      </c>
    </row>
    <row r="518" spans="1:10" x14ac:dyDescent="0.35">
      <c r="A518" s="1">
        <v>46022.645196759258</v>
      </c>
      <c r="B518" t="s">
        <v>1003</v>
      </c>
      <c r="C518" t="s">
        <v>1004</v>
      </c>
      <c r="D518" t="s">
        <v>20</v>
      </c>
      <c r="E518">
        <v>30</v>
      </c>
      <c r="F518">
        <v>493.3</v>
      </c>
      <c r="G518" t="s">
        <v>21</v>
      </c>
      <c r="H518" t="s">
        <v>1012</v>
      </c>
      <c r="I518" t="s">
        <v>23</v>
      </c>
      <c r="J518" s="4" t="str">
        <f t="shared" si="7"/>
        <v>BANKNIFTY</v>
      </c>
    </row>
    <row r="519" spans="1:10" x14ac:dyDescent="0.35">
      <c r="A519" s="1">
        <v>46022.645740740743</v>
      </c>
      <c r="B519" t="s">
        <v>1013</v>
      </c>
      <c r="C519" t="s">
        <v>1014</v>
      </c>
      <c r="D519" t="s">
        <v>26</v>
      </c>
      <c r="E519">
        <v>30</v>
      </c>
      <c r="F519">
        <v>633.29999999999995</v>
      </c>
      <c r="G519" t="s">
        <v>21</v>
      </c>
      <c r="H519" t="s">
        <v>1015</v>
      </c>
      <c r="I519" t="s">
        <v>23</v>
      </c>
      <c r="J519" s="4" t="str">
        <f t="shared" si="7"/>
        <v>BANKNIFTY</v>
      </c>
    </row>
    <row r="520" spans="1:10" x14ac:dyDescent="0.35">
      <c r="A520" s="1">
        <v>46023.642268518517</v>
      </c>
      <c r="B520" t="s">
        <v>1006</v>
      </c>
      <c r="C520" t="s">
        <v>1007</v>
      </c>
      <c r="D520" t="s">
        <v>20</v>
      </c>
      <c r="E520">
        <v>30</v>
      </c>
      <c r="F520">
        <v>577.15</v>
      </c>
      <c r="G520" t="s">
        <v>21</v>
      </c>
      <c r="H520" t="s">
        <v>1016</v>
      </c>
      <c r="I520" t="s">
        <v>23</v>
      </c>
      <c r="J520" s="4" t="str">
        <f t="shared" si="7"/>
        <v>BANKNIFTY</v>
      </c>
    </row>
    <row r="521" spans="1:10" x14ac:dyDescent="0.35">
      <c r="A521" s="1">
        <v>46024.389050925929</v>
      </c>
      <c r="B521" t="s">
        <v>998</v>
      </c>
      <c r="C521" t="s">
        <v>999</v>
      </c>
      <c r="D521" t="s">
        <v>20</v>
      </c>
      <c r="E521">
        <v>30</v>
      </c>
      <c r="F521">
        <v>828.25</v>
      </c>
      <c r="G521" t="s">
        <v>21</v>
      </c>
      <c r="H521" t="s">
        <v>1017</v>
      </c>
      <c r="I521" t="s">
        <v>23</v>
      </c>
      <c r="J521" s="4" t="str">
        <f t="shared" ref="J521:J584" si="8">LEFT(B521,FIND(" ",B521)-1)</f>
        <v>BANKNIFTY</v>
      </c>
    </row>
    <row r="522" spans="1:10" x14ac:dyDescent="0.35">
      <c r="A522" s="1">
        <v>46024.391921296294</v>
      </c>
      <c r="B522" t="s">
        <v>1013</v>
      </c>
      <c r="C522" t="s">
        <v>1014</v>
      </c>
      <c r="D522" t="s">
        <v>20</v>
      </c>
      <c r="E522">
        <v>30</v>
      </c>
      <c r="F522">
        <v>744.4</v>
      </c>
      <c r="G522" t="s">
        <v>21</v>
      </c>
      <c r="H522" t="s">
        <v>1018</v>
      </c>
      <c r="I522" t="s">
        <v>23</v>
      </c>
      <c r="J522" s="4" t="str">
        <f t="shared" si="8"/>
        <v>BANKNIFTY</v>
      </c>
    </row>
    <row r="523" spans="1:10" x14ac:dyDescent="0.35">
      <c r="A523" s="1">
        <v>46024.404965277776</v>
      </c>
      <c r="B523" t="s">
        <v>1009</v>
      </c>
      <c r="C523" t="s">
        <v>1010</v>
      </c>
      <c r="D523" t="s">
        <v>20</v>
      </c>
      <c r="E523">
        <v>65</v>
      </c>
      <c r="F523">
        <v>53.3</v>
      </c>
      <c r="G523" t="s">
        <v>21</v>
      </c>
      <c r="H523" t="s">
        <v>1019</v>
      </c>
      <c r="I523" t="s">
        <v>23</v>
      </c>
      <c r="J523" s="4" t="str">
        <f t="shared" si="8"/>
        <v>NIFTY</v>
      </c>
    </row>
    <row r="524" spans="1:10" x14ac:dyDescent="0.35">
      <c r="A524" s="1">
        <v>46024.407905092594</v>
      </c>
      <c r="B524" t="s">
        <v>1020</v>
      </c>
      <c r="C524" t="s">
        <v>1021</v>
      </c>
      <c r="D524" t="s">
        <v>26</v>
      </c>
      <c r="E524">
        <v>750</v>
      </c>
      <c r="F524">
        <v>29.45</v>
      </c>
      <c r="G524" t="s">
        <v>21</v>
      </c>
      <c r="H524" t="s">
        <v>1022</v>
      </c>
      <c r="I524" t="s">
        <v>23</v>
      </c>
      <c r="J524" s="4" t="str">
        <f t="shared" si="8"/>
        <v>BAJFINANCE</v>
      </c>
    </row>
    <row r="525" spans="1:10" x14ac:dyDescent="0.35">
      <c r="A525" s="1">
        <v>46024.427858796298</v>
      </c>
      <c r="B525" t="s">
        <v>1023</v>
      </c>
      <c r="C525" t="s">
        <v>1024</v>
      </c>
      <c r="D525" t="s">
        <v>26</v>
      </c>
      <c r="E525">
        <v>60</v>
      </c>
      <c r="F525">
        <v>298.10000000000002</v>
      </c>
      <c r="G525" t="s">
        <v>21</v>
      </c>
      <c r="H525" t="s">
        <v>1025</v>
      </c>
      <c r="I525" t="s">
        <v>23</v>
      </c>
      <c r="J525" s="4" t="str">
        <f t="shared" si="8"/>
        <v>FINNIFTY</v>
      </c>
    </row>
    <row r="526" spans="1:10" x14ac:dyDescent="0.35">
      <c r="A526" s="1">
        <v>46024.444421296299</v>
      </c>
      <c r="B526" t="s">
        <v>1026</v>
      </c>
      <c r="C526" t="s">
        <v>1027</v>
      </c>
      <c r="D526" t="s">
        <v>26</v>
      </c>
      <c r="E526">
        <v>195</v>
      </c>
      <c r="F526">
        <v>91.85</v>
      </c>
      <c r="G526" t="s">
        <v>21</v>
      </c>
      <c r="H526" t="s">
        <v>1028</v>
      </c>
      <c r="I526" t="s">
        <v>23</v>
      </c>
      <c r="J526" s="4" t="str">
        <f t="shared" si="8"/>
        <v>NIFTY</v>
      </c>
    </row>
    <row r="527" spans="1:10" x14ac:dyDescent="0.35">
      <c r="A527" s="1">
        <v>46024.482476851852</v>
      </c>
      <c r="B527" t="s">
        <v>1026</v>
      </c>
      <c r="C527" t="s">
        <v>1027</v>
      </c>
      <c r="D527" t="s">
        <v>20</v>
      </c>
      <c r="E527">
        <v>195</v>
      </c>
      <c r="F527">
        <v>102.1</v>
      </c>
      <c r="G527" t="s">
        <v>21</v>
      </c>
      <c r="H527" t="s">
        <v>1029</v>
      </c>
      <c r="I527" t="s">
        <v>23</v>
      </c>
      <c r="J527" s="4" t="str">
        <f t="shared" si="8"/>
        <v>NIFTY</v>
      </c>
    </row>
    <row r="528" spans="1:10" x14ac:dyDescent="0.35">
      <c r="A528" s="1">
        <v>46024.562476851854</v>
      </c>
      <c r="B528" t="s">
        <v>978</v>
      </c>
      <c r="C528" t="s">
        <v>979</v>
      </c>
      <c r="D528" t="s">
        <v>20</v>
      </c>
      <c r="E528">
        <v>500</v>
      </c>
      <c r="F528">
        <v>40.75</v>
      </c>
      <c r="G528" t="s">
        <v>21</v>
      </c>
      <c r="H528" t="s">
        <v>1030</v>
      </c>
      <c r="I528" t="s">
        <v>23</v>
      </c>
      <c r="J528" s="4" t="str">
        <f t="shared" si="8"/>
        <v>RELIANCE</v>
      </c>
    </row>
    <row r="529" spans="1:10" x14ac:dyDescent="0.35">
      <c r="A529" s="1">
        <v>46024.636643518519</v>
      </c>
      <c r="B529" t="s">
        <v>1020</v>
      </c>
      <c r="C529" t="s">
        <v>1021</v>
      </c>
      <c r="D529" t="s">
        <v>20</v>
      </c>
      <c r="E529">
        <v>750</v>
      </c>
      <c r="F529">
        <v>32.299999999999997</v>
      </c>
      <c r="G529" t="s">
        <v>21</v>
      </c>
      <c r="H529" t="s">
        <v>1031</v>
      </c>
      <c r="I529" t="s">
        <v>23</v>
      </c>
      <c r="J529" s="4" t="str">
        <f t="shared" si="8"/>
        <v>BAJFINANCE</v>
      </c>
    </row>
    <row r="530" spans="1:10" x14ac:dyDescent="0.35">
      <c r="A530" s="1">
        <v>46027.387430555558</v>
      </c>
      <c r="B530" t="s">
        <v>1032</v>
      </c>
      <c r="C530" t="s">
        <v>1033</v>
      </c>
      <c r="D530" t="s">
        <v>26</v>
      </c>
      <c r="E530">
        <v>1200</v>
      </c>
      <c r="F530">
        <v>19.899999999999999</v>
      </c>
      <c r="G530" t="s">
        <v>21</v>
      </c>
      <c r="H530" t="s">
        <v>1034</v>
      </c>
      <c r="I530" t="s">
        <v>23</v>
      </c>
      <c r="J530" s="4" t="str">
        <f t="shared" si="8"/>
        <v>MARICO</v>
      </c>
    </row>
    <row r="531" spans="1:10" x14ac:dyDescent="0.35">
      <c r="A531" s="1">
        <v>46027.390208333331</v>
      </c>
      <c r="B531" t="s">
        <v>1035</v>
      </c>
      <c r="C531" t="s">
        <v>1036</v>
      </c>
      <c r="D531" t="s">
        <v>26</v>
      </c>
      <c r="E531">
        <v>3175</v>
      </c>
      <c r="F531">
        <v>7.7</v>
      </c>
      <c r="G531" t="s">
        <v>21</v>
      </c>
      <c r="H531" t="s">
        <v>1037</v>
      </c>
      <c r="I531" t="s">
        <v>23</v>
      </c>
      <c r="J531" s="4" t="str">
        <f t="shared" si="8"/>
        <v>RBLBANK</v>
      </c>
    </row>
    <row r="532" spans="1:10" x14ac:dyDescent="0.35">
      <c r="A532" s="1">
        <v>46027.402395833335</v>
      </c>
      <c r="B532" t="s">
        <v>1038</v>
      </c>
      <c r="C532" t="s">
        <v>1039</v>
      </c>
      <c r="D532" t="s">
        <v>26</v>
      </c>
      <c r="E532">
        <v>30</v>
      </c>
      <c r="F532">
        <v>702.4</v>
      </c>
      <c r="G532" t="s">
        <v>21</v>
      </c>
      <c r="H532" t="s">
        <v>1040</v>
      </c>
      <c r="I532" t="s">
        <v>23</v>
      </c>
      <c r="J532" s="4" t="str">
        <f t="shared" si="8"/>
        <v>BANKNIFTY</v>
      </c>
    </row>
    <row r="533" spans="1:10" x14ac:dyDescent="0.35">
      <c r="A533" s="1">
        <v>46027.416284722225</v>
      </c>
      <c r="B533" t="s">
        <v>1038</v>
      </c>
      <c r="C533" t="s">
        <v>1039</v>
      </c>
      <c r="D533" t="s">
        <v>20</v>
      </c>
      <c r="E533">
        <v>30</v>
      </c>
      <c r="F533">
        <v>743.6</v>
      </c>
      <c r="G533" t="s">
        <v>21</v>
      </c>
      <c r="H533" t="s">
        <v>1041</v>
      </c>
      <c r="I533" t="s">
        <v>23</v>
      </c>
      <c r="J533" s="4" t="str">
        <f t="shared" si="8"/>
        <v>BANKNIFTY</v>
      </c>
    </row>
    <row r="534" spans="1:10" x14ac:dyDescent="0.35">
      <c r="A534" s="1">
        <v>46027.421226851853</v>
      </c>
      <c r="B534" t="s">
        <v>1042</v>
      </c>
      <c r="C534" t="s">
        <v>1043</v>
      </c>
      <c r="D534" t="s">
        <v>26</v>
      </c>
      <c r="E534">
        <v>3125</v>
      </c>
      <c r="F534">
        <v>8.1</v>
      </c>
      <c r="G534" t="s">
        <v>21</v>
      </c>
      <c r="H534" t="s">
        <v>1044</v>
      </c>
      <c r="I534" t="s">
        <v>23</v>
      </c>
      <c r="J534" s="4" t="str">
        <f t="shared" si="8"/>
        <v>NYKAA</v>
      </c>
    </row>
    <row r="535" spans="1:10" x14ac:dyDescent="0.35">
      <c r="A535" s="1">
        <v>46027.433599537035</v>
      </c>
      <c r="B535" t="s">
        <v>1023</v>
      </c>
      <c r="C535" t="s">
        <v>1024</v>
      </c>
      <c r="D535" t="s">
        <v>20</v>
      </c>
      <c r="E535">
        <v>60</v>
      </c>
      <c r="F535">
        <v>332.55</v>
      </c>
      <c r="G535" t="s">
        <v>21</v>
      </c>
      <c r="H535" t="s">
        <v>1045</v>
      </c>
      <c r="I535" t="s">
        <v>23</v>
      </c>
      <c r="J535" s="4" t="str">
        <f t="shared" si="8"/>
        <v>FINNIFTY</v>
      </c>
    </row>
    <row r="536" spans="1:10" x14ac:dyDescent="0.35">
      <c r="A536" s="1">
        <v>46027.45957175926</v>
      </c>
      <c r="B536" t="s">
        <v>1046</v>
      </c>
      <c r="C536" t="s">
        <v>1047</v>
      </c>
      <c r="D536" t="s">
        <v>26</v>
      </c>
      <c r="E536">
        <v>1225</v>
      </c>
      <c r="F536">
        <v>25.5</v>
      </c>
      <c r="G536" t="s">
        <v>21</v>
      </c>
      <c r="H536" t="s">
        <v>1048</v>
      </c>
      <c r="I536" t="s">
        <v>23</v>
      </c>
      <c r="J536" s="4" t="str">
        <f t="shared" si="8"/>
        <v>HINDZINC</v>
      </c>
    </row>
    <row r="537" spans="1:10" x14ac:dyDescent="0.35">
      <c r="A537" s="1">
        <v>46027.480208333334</v>
      </c>
      <c r="B537" t="s">
        <v>1009</v>
      </c>
      <c r="C537" t="s">
        <v>1010</v>
      </c>
      <c r="D537" t="s">
        <v>26</v>
      </c>
      <c r="E537">
        <v>65</v>
      </c>
      <c r="F537">
        <v>76.349999999999994</v>
      </c>
      <c r="G537" t="s">
        <v>21</v>
      </c>
      <c r="H537" t="s">
        <v>1049</v>
      </c>
      <c r="I537" t="s">
        <v>23</v>
      </c>
      <c r="J537" s="4" t="str">
        <f t="shared" si="8"/>
        <v>NIFTY</v>
      </c>
    </row>
    <row r="538" spans="1:10" x14ac:dyDescent="0.35">
      <c r="A538" s="1">
        <v>46027.566493055558</v>
      </c>
      <c r="B538" t="s">
        <v>1032</v>
      </c>
      <c r="C538" t="s">
        <v>1033</v>
      </c>
      <c r="D538" t="s">
        <v>20</v>
      </c>
      <c r="E538">
        <v>1200</v>
      </c>
      <c r="F538">
        <v>29.9</v>
      </c>
      <c r="G538" t="s">
        <v>21</v>
      </c>
      <c r="H538" t="s">
        <v>1050</v>
      </c>
      <c r="I538" t="s">
        <v>23</v>
      </c>
      <c r="J538" s="4" t="str">
        <f t="shared" si="8"/>
        <v>MARICO</v>
      </c>
    </row>
    <row r="539" spans="1:10" x14ac:dyDescent="0.35">
      <c r="A539" s="1">
        <v>46027.573240740741</v>
      </c>
      <c r="B539" t="s">
        <v>1051</v>
      </c>
      <c r="C539" t="s">
        <v>1052</v>
      </c>
      <c r="D539" t="s">
        <v>26</v>
      </c>
      <c r="E539">
        <v>550</v>
      </c>
      <c r="F539">
        <v>19.350000000000001</v>
      </c>
      <c r="G539" t="s">
        <v>21</v>
      </c>
      <c r="H539" t="s">
        <v>1053</v>
      </c>
      <c r="I539" t="s">
        <v>23</v>
      </c>
      <c r="J539" s="4" t="str">
        <f t="shared" si="8"/>
        <v>HDFCBANK</v>
      </c>
    </row>
    <row r="540" spans="1:10" x14ac:dyDescent="0.35">
      <c r="A540" s="1">
        <v>46027.595949074072</v>
      </c>
      <c r="B540" t="s">
        <v>1054</v>
      </c>
      <c r="C540" t="s">
        <v>1055</v>
      </c>
      <c r="D540" t="s">
        <v>26</v>
      </c>
      <c r="E540">
        <v>6750</v>
      </c>
      <c r="F540">
        <v>2.16</v>
      </c>
      <c r="G540" t="s">
        <v>21</v>
      </c>
      <c r="H540" t="s">
        <v>1056</v>
      </c>
      <c r="I540" t="s">
        <v>23</v>
      </c>
      <c r="J540" s="4" t="str">
        <f t="shared" si="8"/>
        <v>NMDC</v>
      </c>
    </row>
    <row r="541" spans="1:10" x14ac:dyDescent="0.35">
      <c r="A541" s="1">
        <v>46027.625659722224</v>
      </c>
      <c r="B541" t="s">
        <v>1035</v>
      </c>
      <c r="C541" t="s">
        <v>1036</v>
      </c>
      <c r="D541" t="s">
        <v>20</v>
      </c>
      <c r="E541">
        <v>3175</v>
      </c>
      <c r="F541">
        <v>9.1999999999999993</v>
      </c>
      <c r="G541" t="s">
        <v>21</v>
      </c>
      <c r="H541" t="s">
        <v>1057</v>
      </c>
      <c r="I541" t="s">
        <v>23</v>
      </c>
      <c r="J541" s="4" t="str">
        <f t="shared" si="8"/>
        <v>RBLBANK</v>
      </c>
    </row>
    <row r="542" spans="1:10" x14ac:dyDescent="0.35">
      <c r="A542" s="1">
        <v>46027.636365740742</v>
      </c>
      <c r="B542" t="s">
        <v>1042</v>
      </c>
      <c r="C542" t="s">
        <v>1043</v>
      </c>
      <c r="D542" t="s">
        <v>20</v>
      </c>
      <c r="E542">
        <v>3125</v>
      </c>
      <c r="F542">
        <v>8.4499999999999993</v>
      </c>
      <c r="G542" t="s">
        <v>21</v>
      </c>
      <c r="H542" t="s">
        <v>1058</v>
      </c>
      <c r="I542" t="s">
        <v>23</v>
      </c>
      <c r="J542" s="4" t="str">
        <f t="shared" si="8"/>
        <v>NYKAA</v>
      </c>
    </row>
    <row r="543" spans="1:10" x14ac:dyDescent="0.35">
      <c r="A543" s="1">
        <v>46027.637106481481</v>
      </c>
      <c r="B543" t="s">
        <v>1054</v>
      </c>
      <c r="C543" t="s">
        <v>1055</v>
      </c>
      <c r="D543" t="s">
        <v>20</v>
      </c>
      <c r="E543">
        <v>6750</v>
      </c>
      <c r="F543">
        <v>2.33</v>
      </c>
      <c r="G543" t="s">
        <v>21</v>
      </c>
      <c r="H543" t="s">
        <v>1059</v>
      </c>
      <c r="I543" t="s">
        <v>23</v>
      </c>
      <c r="J543" s="4" t="str">
        <f t="shared" si="8"/>
        <v>NMDC</v>
      </c>
    </row>
    <row r="544" spans="1:10" x14ac:dyDescent="0.35">
      <c r="A544" s="1">
        <v>46027.639328703706</v>
      </c>
      <c r="B544" t="s">
        <v>1060</v>
      </c>
      <c r="C544" t="s">
        <v>1061</v>
      </c>
      <c r="D544" t="s">
        <v>26</v>
      </c>
      <c r="E544">
        <v>65</v>
      </c>
      <c r="F544">
        <v>67.8</v>
      </c>
      <c r="G544" t="s">
        <v>21</v>
      </c>
      <c r="H544" t="s">
        <v>1062</v>
      </c>
      <c r="I544" t="s">
        <v>23</v>
      </c>
      <c r="J544" s="4" t="str">
        <f t="shared" si="8"/>
        <v>NIFTY</v>
      </c>
    </row>
    <row r="545" spans="1:10" x14ac:dyDescent="0.35">
      <c r="A545" s="1">
        <v>46028.386631944442</v>
      </c>
      <c r="B545" t="s">
        <v>1063</v>
      </c>
      <c r="C545" t="s">
        <v>1064</v>
      </c>
      <c r="D545" t="s">
        <v>26</v>
      </c>
      <c r="E545">
        <v>1200</v>
      </c>
      <c r="F545">
        <v>15.95</v>
      </c>
      <c r="G545" t="s">
        <v>21</v>
      </c>
      <c r="H545" t="s">
        <v>1065</v>
      </c>
      <c r="I545" t="s">
        <v>23</v>
      </c>
      <c r="J545" s="4" t="str">
        <f t="shared" si="8"/>
        <v>MARICO</v>
      </c>
    </row>
    <row r="546" spans="1:10" x14ac:dyDescent="0.35">
      <c r="A546" s="1">
        <v>46028.392245370371</v>
      </c>
      <c r="B546" t="s">
        <v>1066</v>
      </c>
      <c r="C546" t="s">
        <v>1067</v>
      </c>
      <c r="D546" t="s">
        <v>26</v>
      </c>
      <c r="E546">
        <v>500</v>
      </c>
      <c r="F546">
        <v>37.1</v>
      </c>
      <c r="G546" t="s">
        <v>21</v>
      </c>
      <c r="H546" t="s">
        <v>1068</v>
      </c>
      <c r="I546" t="s">
        <v>23</v>
      </c>
      <c r="J546" s="4" t="str">
        <f t="shared" si="8"/>
        <v>RELIANCE</v>
      </c>
    </row>
    <row r="547" spans="1:10" x14ac:dyDescent="0.35">
      <c r="A547" s="1">
        <v>46028.415370370371</v>
      </c>
      <c r="B547" t="s">
        <v>1069</v>
      </c>
      <c r="C547" t="s">
        <v>1070</v>
      </c>
      <c r="D547" t="s">
        <v>26</v>
      </c>
      <c r="E547">
        <v>130</v>
      </c>
      <c r="F547">
        <v>145.80000000000001</v>
      </c>
      <c r="G547" t="s">
        <v>21</v>
      </c>
      <c r="H547" t="s">
        <v>1071</v>
      </c>
      <c r="I547" t="s">
        <v>23</v>
      </c>
      <c r="J547" s="4" t="str">
        <f t="shared" si="8"/>
        <v>NIFTY</v>
      </c>
    </row>
    <row r="548" spans="1:10" x14ac:dyDescent="0.35">
      <c r="A548" s="1">
        <v>46028.444155092591</v>
      </c>
      <c r="B548" t="s">
        <v>1069</v>
      </c>
      <c r="C548" t="s">
        <v>1070</v>
      </c>
      <c r="D548" t="s">
        <v>26</v>
      </c>
      <c r="E548">
        <v>65</v>
      </c>
      <c r="F548">
        <v>128.94999999999999</v>
      </c>
      <c r="G548" t="s">
        <v>21</v>
      </c>
      <c r="H548" t="s">
        <v>1072</v>
      </c>
      <c r="I548" t="s">
        <v>23</v>
      </c>
      <c r="J548" s="4" t="str">
        <f t="shared" si="8"/>
        <v>NIFTY</v>
      </c>
    </row>
    <row r="549" spans="1:10" x14ac:dyDescent="0.35">
      <c r="A549" s="1">
        <v>46028.445590277777</v>
      </c>
      <c r="B549" t="s">
        <v>1073</v>
      </c>
      <c r="C549" t="s">
        <v>1074</v>
      </c>
      <c r="D549" t="s">
        <v>26</v>
      </c>
      <c r="E549">
        <v>60</v>
      </c>
      <c r="F549">
        <v>246.6</v>
      </c>
      <c r="G549" t="s">
        <v>21</v>
      </c>
      <c r="H549" t="s">
        <v>1075</v>
      </c>
      <c r="I549" t="s">
        <v>23</v>
      </c>
      <c r="J549" s="4" t="str">
        <f t="shared" si="8"/>
        <v>FINNIFTY</v>
      </c>
    </row>
    <row r="550" spans="1:10" x14ac:dyDescent="0.35">
      <c r="A550" s="1">
        <v>46028.474374999998</v>
      </c>
      <c r="B550" t="s">
        <v>1076</v>
      </c>
      <c r="C550" t="s">
        <v>1077</v>
      </c>
      <c r="D550" t="s">
        <v>26</v>
      </c>
      <c r="E550">
        <v>30</v>
      </c>
      <c r="F550">
        <v>578.85</v>
      </c>
      <c r="G550" t="s">
        <v>21</v>
      </c>
      <c r="H550" t="s">
        <v>1078</v>
      </c>
      <c r="I550" t="s">
        <v>23</v>
      </c>
      <c r="J550" s="4" t="str">
        <f t="shared" si="8"/>
        <v>BANKNIFTY</v>
      </c>
    </row>
    <row r="551" spans="1:10" x14ac:dyDescent="0.35">
      <c r="A551" s="1">
        <v>46028.503692129627</v>
      </c>
      <c r="B551" t="s">
        <v>1079</v>
      </c>
      <c r="C551" t="s">
        <v>1080</v>
      </c>
      <c r="D551" t="s">
        <v>26</v>
      </c>
      <c r="E551">
        <v>275</v>
      </c>
      <c r="F551">
        <v>107.3</v>
      </c>
      <c r="G551" t="s">
        <v>21</v>
      </c>
      <c r="H551" t="s">
        <v>1081</v>
      </c>
      <c r="I551" t="s">
        <v>23</v>
      </c>
      <c r="J551" s="4" t="str">
        <f t="shared" si="8"/>
        <v>MUTHOOTFIN</v>
      </c>
    </row>
    <row r="552" spans="1:10" x14ac:dyDescent="0.35">
      <c r="A552" s="1">
        <v>46028.572997685187</v>
      </c>
      <c r="B552" t="s">
        <v>1082</v>
      </c>
      <c r="C552" t="s">
        <v>1083</v>
      </c>
      <c r="D552" t="s">
        <v>26</v>
      </c>
      <c r="E552">
        <v>200</v>
      </c>
      <c r="F552">
        <v>75.55</v>
      </c>
      <c r="G552" t="s">
        <v>21</v>
      </c>
      <c r="H552" t="s">
        <v>1084</v>
      </c>
      <c r="I552" t="s">
        <v>23</v>
      </c>
      <c r="J552" s="4" t="str">
        <f t="shared" si="8"/>
        <v>SRF</v>
      </c>
    </row>
    <row r="553" spans="1:10" x14ac:dyDescent="0.35">
      <c r="A553" s="1">
        <v>46028.611400462964</v>
      </c>
      <c r="B553" t="s">
        <v>1085</v>
      </c>
      <c r="C553" t="s">
        <v>1086</v>
      </c>
      <c r="D553" t="s">
        <v>26</v>
      </c>
      <c r="E553">
        <v>30</v>
      </c>
      <c r="F553">
        <v>445.5</v>
      </c>
      <c r="G553" t="s">
        <v>21</v>
      </c>
      <c r="H553" t="s">
        <v>1087</v>
      </c>
      <c r="I553" t="s">
        <v>23</v>
      </c>
      <c r="J553" s="4" t="str">
        <f t="shared" si="8"/>
        <v>BANKNIFTY</v>
      </c>
    </row>
    <row r="554" spans="1:10" x14ac:dyDescent="0.35">
      <c r="A554" s="1">
        <v>46028.637245370373</v>
      </c>
      <c r="B554" t="s">
        <v>1088</v>
      </c>
      <c r="C554" t="s">
        <v>1089</v>
      </c>
      <c r="D554" t="s">
        <v>26</v>
      </c>
      <c r="E554">
        <v>900</v>
      </c>
      <c r="F554">
        <v>20.45</v>
      </c>
      <c r="G554" t="s">
        <v>21</v>
      </c>
      <c r="H554" t="s">
        <v>1090</v>
      </c>
      <c r="I554" t="s">
        <v>23</v>
      </c>
      <c r="J554" s="4" t="str">
        <f t="shared" si="8"/>
        <v>ZYDUSLIFE</v>
      </c>
    </row>
    <row r="555" spans="1:10" x14ac:dyDescent="0.35">
      <c r="A555" s="1">
        <v>46028.640474537038</v>
      </c>
      <c r="B555" t="s">
        <v>1046</v>
      </c>
      <c r="C555" t="s">
        <v>1047</v>
      </c>
      <c r="D555" t="s">
        <v>20</v>
      </c>
      <c r="E555">
        <v>1225</v>
      </c>
      <c r="F555">
        <v>31.3</v>
      </c>
      <c r="G555" t="s">
        <v>21</v>
      </c>
      <c r="H555" t="s">
        <v>1091</v>
      </c>
      <c r="I555" t="s">
        <v>23</v>
      </c>
      <c r="J555" s="4" t="str">
        <f t="shared" si="8"/>
        <v>HINDZINC</v>
      </c>
    </row>
    <row r="556" spans="1:10" x14ac:dyDescent="0.35">
      <c r="A556" s="1">
        <v>46028.6409375</v>
      </c>
      <c r="B556" t="s">
        <v>1082</v>
      </c>
      <c r="C556" t="s">
        <v>1083</v>
      </c>
      <c r="D556" t="s">
        <v>20</v>
      </c>
      <c r="E556">
        <v>200</v>
      </c>
      <c r="F556">
        <v>80.599999999999994</v>
      </c>
      <c r="G556" t="s">
        <v>21</v>
      </c>
      <c r="H556" t="s">
        <v>1092</v>
      </c>
      <c r="I556" t="s">
        <v>23</v>
      </c>
      <c r="J556" s="4" t="str">
        <f t="shared" si="8"/>
        <v>SRF</v>
      </c>
    </row>
    <row r="557" spans="1:10" x14ac:dyDescent="0.35">
      <c r="A557" s="1">
        <v>46028.642569444448</v>
      </c>
      <c r="B557" t="s">
        <v>1063</v>
      </c>
      <c r="C557" t="s">
        <v>1064</v>
      </c>
      <c r="D557" t="s">
        <v>20</v>
      </c>
      <c r="E557">
        <v>1200</v>
      </c>
      <c r="F557">
        <v>18.600000000000001</v>
      </c>
      <c r="G557" t="s">
        <v>21</v>
      </c>
      <c r="H557" t="s">
        <v>1093</v>
      </c>
      <c r="I557" t="s">
        <v>23</v>
      </c>
      <c r="J557" s="4" t="str">
        <f t="shared" si="8"/>
        <v>MARICO</v>
      </c>
    </row>
    <row r="558" spans="1:10" x14ac:dyDescent="0.35">
      <c r="A558" s="1">
        <v>46028.645196759258</v>
      </c>
      <c r="B558" t="s">
        <v>1085</v>
      </c>
      <c r="C558" t="s">
        <v>1086</v>
      </c>
      <c r="D558" t="s">
        <v>20</v>
      </c>
      <c r="E558">
        <v>30</v>
      </c>
      <c r="F558">
        <v>479.5</v>
      </c>
      <c r="G558" t="s">
        <v>21</v>
      </c>
      <c r="H558" t="s">
        <v>1094</v>
      </c>
      <c r="I558" t="s">
        <v>23</v>
      </c>
      <c r="J558" s="4" t="str">
        <f t="shared" si="8"/>
        <v>BANKNIFTY</v>
      </c>
    </row>
    <row r="559" spans="1:10" x14ac:dyDescent="0.35">
      <c r="A559" s="1">
        <v>46029.387280092589</v>
      </c>
      <c r="B559" t="s">
        <v>1095</v>
      </c>
      <c r="C559" t="s">
        <v>1096</v>
      </c>
      <c r="D559" t="s">
        <v>26</v>
      </c>
      <c r="E559">
        <v>1225</v>
      </c>
      <c r="F559">
        <v>23.45</v>
      </c>
      <c r="G559" t="s">
        <v>21</v>
      </c>
      <c r="H559" t="s">
        <v>1097</v>
      </c>
      <c r="I559" t="s">
        <v>23</v>
      </c>
      <c r="J559" s="4" t="str">
        <f t="shared" si="8"/>
        <v>HINDZINC</v>
      </c>
    </row>
    <row r="560" spans="1:10" x14ac:dyDescent="0.35">
      <c r="A560" s="1">
        <v>46029.39943287037</v>
      </c>
      <c r="B560" t="s">
        <v>1006</v>
      </c>
      <c r="C560" t="s">
        <v>1007</v>
      </c>
      <c r="D560" t="s">
        <v>26</v>
      </c>
      <c r="E560">
        <v>30</v>
      </c>
      <c r="F560">
        <v>641.95000000000005</v>
      </c>
      <c r="G560" t="s">
        <v>21</v>
      </c>
      <c r="H560" t="s">
        <v>1098</v>
      </c>
      <c r="I560" t="s">
        <v>23</v>
      </c>
      <c r="J560" s="4" t="str">
        <f t="shared" si="8"/>
        <v>BANKNIFTY</v>
      </c>
    </row>
    <row r="561" spans="1:10" x14ac:dyDescent="0.35">
      <c r="A561" s="1">
        <v>46029.413495370369</v>
      </c>
      <c r="B561" t="s">
        <v>1099</v>
      </c>
      <c r="C561" t="s">
        <v>1100</v>
      </c>
      <c r="D561" t="s">
        <v>26</v>
      </c>
      <c r="E561">
        <v>2500</v>
      </c>
      <c r="F561">
        <v>10.6</v>
      </c>
      <c r="G561" t="s">
        <v>21</v>
      </c>
      <c r="H561" t="s">
        <v>1101</v>
      </c>
      <c r="I561" t="s">
        <v>23</v>
      </c>
      <c r="J561" s="4" t="str">
        <f t="shared" si="8"/>
        <v>BIOCON</v>
      </c>
    </row>
    <row r="562" spans="1:10" x14ac:dyDescent="0.35">
      <c r="A562" s="1">
        <v>46029.418842592589</v>
      </c>
      <c r="B562" t="s">
        <v>1102</v>
      </c>
      <c r="C562" t="s">
        <v>1103</v>
      </c>
      <c r="D562" t="s">
        <v>26</v>
      </c>
      <c r="E562">
        <v>275</v>
      </c>
      <c r="F562">
        <v>84.75</v>
      </c>
      <c r="G562" t="s">
        <v>21</v>
      </c>
      <c r="H562" t="s">
        <v>1104</v>
      </c>
      <c r="I562" t="s">
        <v>23</v>
      </c>
      <c r="J562" s="4" t="str">
        <f t="shared" si="8"/>
        <v>MPHASIS</v>
      </c>
    </row>
    <row r="563" spans="1:10" x14ac:dyDescent="0.35">
      <c r="A563" s="1">
        <v>46029.428356481483</v>
      </c>
      <c r="B563" t="s">
        <v>1105</v>
      </c>
      <c r="C563" t="s">
        <v>1106</v>
      </c>
      <c r="D563" t="s">
        <v>26</v>
      </c>
      <c r="E563">
        <v>375</v>
      </c>
      <c r="F563">
        <v>31.95</v>
      </c>
      <c r="G563" t="s">
        <v>21</v>
      </c>
      <c r="H563" t="s">
        <v>1107</v>
      </c>
      <c r="I563" t="s">
        <v>23</v>
      </c>
      <c r="J563" s="4" t="str">
        <f t="shared" si="8"/>
        <v>CIPLA</v>
      </c>
    </row>
    <row r="564" spans="1:10" x14ac:dyDescent="0.35">
      <c r="A564" s="1">
        <v>46029.444340277776</v>
      </c>
      <c r="B564" t="s">
        <v>1108</v>
      </c>
      <c r="C564" t="s">
        <v>1109</v>
      </c>
      <c r="D564" t="s">
        <v>26</v>
      </c>
      <c r="E564">
        <v>120</v>
      </c>
      <c r="F564">
        <v>167.2</v>
      </c>
      <c r="G564" t="s">
        <v>21</v>
      </c>
      <c r="H564" t="s">
        <v>1110</v>
      </c>
      <c r="I564" t="s">
        <v>23</v>
      </c>
      <c r="J564" s="4" t="str">
        <f t="shared" si="8"/>
        <v>MIDCPNIFTY</v>
      </c>
    </row>
    <row r="565" spans="1:10" x14ac:dyDescent="0.35">
      <c r="A565" s="1">
        <v>46029.48574074074</v>
      </c>
      <c r="B565" t="s">
        <v>1102</v>
      </c>
      <c r="C565" t="s">
        <v>1103</v>
      </c>
      <c r="D565" t="s">
        <v>20</v>
      </c>
      <c r="E565">
        <v>275</v>
      </c>
      <c r="F565">
        <v>92.65</v>
      </c>
      <c r="G565" t="s">
        <v>21</v>
      </c>
      <c r="H565" t="s">
        <v>1111</v>
      </c>
      <c r="I565" t="s">
        <v>23</v>
      </c>
      <c r="J565" s="4" t="str">
        <f t="shared" si="8"/>
        <v>MPHASIS</v>
      </c>
    </row>
    <row r="566" spans="1:10" x14ac:dyDescent="0.35">
      <c r="A566" s="1">
        <v>46029.521157407406</v>
      </c>
      <c r="B566" t="s">
        <v>1112</v>
      </c>
      <c r="C566" t="s">
        <v>1113</v>
      </c>
      <c r="D566" t="s">
        <v>26</v>
      </c>
      <c r="E566">
        <v>100</v>
      </c>
      <c r="F566">
        <v>137.05000000000001</v>
      </c>
      <c r="G566" t="s">
        <v>21</v>
      </c>
      <c r="H566" t="s">
        <v>1114</v>
      </c>
      <c r="I566" t="s">
        <v>23</v>
      </c>
      <c r="J566" s="4" t="str">
        <f t="shared" si="8"/>
        <v>DIVISLAB</v>
      </c>
    </row>
    <row r="567" spans="1:10" x14ac:dyDescent="0.35">
      <c r="A567" s="1">
        <v>46029.537615740737</v>
      </c>
      <c r="B567" t="s">
        <v>1063</v>
      </c>
      <c r="C567" t="s">
        <v>1064</v>
      </c>
      <c r="D567" t="s">
        <v>26</v>
      </c>
      <c r="E567">
        <v>1200</v>
      </c>
      <c r="F567">
        <v>17.100000000000001</v>
      </c>
      <c r="G567" t="s">
        <v>21</v>
      </c>
      <c r="H567" t="s">
        <v>1115</v>
      </c>
      <c r="I567" t="s">
        <v>23</v>
      </c>
      <c r="J567" s="4" t="str">
        <f t="shared" si="8"/>
        <v>MARICO</v>
      </c>
    </row>
    <row r="568" spans="1:10" x14ac:dyDescent="0.35">
      <c r="A568" s="1">
        <v>46029.607893518521</v>
      </c>
      <c r="B568" t="s">
        <v>1116</v>
      </c>
      <c r="C568" t="s">
        <v>1117</v>
      </c>
      <c r="D568" t="s">
        <v>26</v>
      </c>
      <c r="E568">
        <v>65</v>
      </c>
      <c r="F568">
        <v>81.7</v>
      </c>
      <c r="G568" t="s">
        <v>21</v>
      </c>
      <c r="H568" t="s">
        <v>1118</v>
      </c>
      <c r="I568" t="s">
        <v>23</v>
      </c>
      <c r="J568" s="4" t="str">
        <f t="shared" si="8"/>
        <v>NIFTY</v>
      </c>
    </row>
    <row r="569" spans="1:10" x14ac:dyDescent="0.35">
      <c r="A569" s="1">
        <v>46029.625104166669</v>
      </c>
      <c r="B569" t="s">
        <v>1116</v>
      </c>
      <c r="C569" t="s">
        <v>1117</v>
      </c>
      <c r="D569" t="s">
        <v>20</v>
      </c>
      <c r="E569">
        <v>65</v>
      </c>
      <c r="F569">
        <v>66.150000000000006</v>
      </c>
      <c r="G569" t="s">
        <v>21</v>
      </c>
      <c r="H569" t="s">
        <v>1119</v>
      </c>
      <c r="I569" t="s">
        <v>23</v>
      </c>
      <c r="J569" s="4" t="str">
        <f t="shared" si="8"/>
        <v>NIFTY</v>
      </c>
    </row>
    <row r="570" spans="1:10" x14ac:dyDescent="0.35">
      <c r="A570" s="1">
        <v>46030.400590277779</v>
      </c>
      <c r="B570" t="s">
        <v>1120</v>
      </c>
      <c r="C570" t="s">
        <v>1121</v>
      </c>
      <c r="D570" t="s">
        <v>26</v>
      </c>
      <c r="E570">
        <v>550</v>
      </c>
      <c r="F570">
        <v>21.5</v>
      </c>
      <c r="G570" t="s">
        <v>21</v>
      </c>
      <c r="H570" t="s">
        <v>1122</v>
      </c>
      <c r="I570" t="s">
        <v>23</v>
      </c>
      <c r="J570" s="4" t="str">
        <f t="shared" si="8"/>
        <v>HDFCBANK</v>
      </c>
    </row>
    <row r="571" spans="1:10" x14ac:dyDescent="0.35">
      <c r="A571" s="1">
        <v>46030.416412037041</v>
      </c>
      <c r="B571" t="s">
        <v>1123</v>
      </c>
      <c r="C571" t="s">
        <v>1124</v>
      </c>
      <c r="D571" t="s">
        <v>26</v>
      </c>
      <c r="E571">
        <v>20</v>
      </c>
      <c r="F571">
        <v>144.65</v>
      </c>
      <c r="G571" t="s">
        <v>32</v>
      </c>
      <c r="H571" t="s">
        <v>1125</v>
      </c>
      <c r="I571" t="s">
        <v>23</v>
      </c>
      <c r="J571" s="4" t="str">
        <f t="shared" si="8"/>
        <v>SENSEX</v>
      </c>
    </row>
    <row r="572" spans="1:10" x14ac:dyDescent="0.35">
      <c r="A572" s="1">
        <v>46030.417592592596</v>
      </c>
      <c r="B572" t="s">
        <v>1123</v>
      </c>
      <c r="C572" t="s">
        <v>1124</v>
      </c>
      <c r="D572" t="s">
        <v>26</v>
      </c>
      <c r="E572">
        <v>20</v>
      </c>
      <c r="F572">
        <v>113.15</v>
      </c>
      <c r="G572" t="s">
        <v>32</v>
      </c>
      <c r="H572" t="s">
        <v>1126</v>
      </c>
      <c r="I572" t="s">
        <v>23</v>
      </c>
      <c r="J572" s="4" t="str">
        <f t="shared" si="8"/>
        <v>SENSEX</v>
      </c>
    </row>
    <row r="573" spans="1:10" x14ac:dyDescent="0.35">
      <c r="A573" s="1">
        <v>46030.42015046296</v>
      </c>
      <c r="B573" t="s">
        <v>1123</v>
      </c>
      <c r="C573" t="s">
        <v>1124</v>
      </c>
      <c r="D573" t="s">
        <v>26</v>
      </c>
      <c r="E573">
        <v>20</v>
      </c>
      <c r="F573">
        <v>99.8</v>
      </c>
      <c r="G573" t="s">
        <v>32</v>
      </c>
      <c r="H573" t="s">
        <v>1127</v>
      </c>
      <c r="I573" t="s">
        <v>23</v>
      </c>
      <c r="J573" s="4" t="str">
        <f t="shared" si="8"/>
        <v>SENSEX</v>
      </c>
    </row>
    <row r="574" spans="1:10" x14ac:dyDescent="0.35">
      <c r="A574" s="1">
        <v>46030.422581018516</v>
      </c>
      <c r="B574" t="s">
        <v>1123</v>
      </c>
      <c r="C574" t="s">
        <v>1124</v>
      </c>
      <c r="D574" t="s">
        <v>26</v>
      </c>
      <c r="E574">
        <v>20</v>
      </c>
      <c r="F574">
        <v>87.95</v>
      </c>
      <c r="G574" t="s">
        <v>32</v>
      </c>
      <c r="H574" t="s">
        <v>1128</v>
      </c>
      <c r="I574" t="s">
        <v>23</v>
      </c>
      <c r="J574" s="4" t="str">
        <f t="shared" si="8"/>
        <v>SENSEX</v>
      </c>
    </row>
    <row r="575" spans="1:10" x14ac:dyDescent="0.35">
      <c r="A575" s="1">
        <v>46030.431284722225</v>
      </c>
      <c r="B575" t="s">
        <v>1123</v>
      </c>
      <c r="C575" t="s">
        <v>1124</v>
      </c>
      <c r="D575" t="s">
        <v>26</v>
      </c>
      <c r="E575">
        <v>20</v>
      </c>
      <c r="F575">
        <v>66.7</v>
      </c>
      <c r="G575" t="s">
        <v>32</v>
      </c>
      <c r="H575" t="s">
        <v>1129</v>
      </c>
      <c r="I575" t="s">
        <v>23</v>
      </c>
      <c r="J575" s="4" t="str">
        <f t="shared" si="8"/>
        <v>SENSEX</v>
      </c>
    </row>
    <row r="576" spans="1:10" x14ac:dyDescent="0.35">
      <c r="A576" s="1">
        <v>46030.464444444442</v>
      </c>
      <c r="B576" t="s">
        <v>1130</v>
      </c>
      <c r="C576" t="s">
        <v>1131</v>
      </c>
      <c r="D576" t="s">
        <v>26</v>
      </c>
      <c r="E576">
        <v>30</v>
      </c>
      <c r="F576">
        <v>645.20000000000005</v>
      </c>
      <c r="G576" t="s">
        <v>21</v>
      </c>
      <c r="H576" t="s">
        <v>1132</v>
      </c>
      <c r="I576" t="s">
        <v>23</v>
      </c>
      <c r="J576" s="4" t="str">
        <f t="shared" si="8"/>
        <v>BANKNIFTY</v>
      </c>
    </row>
    <row r="577" spans="1:10" x14ac:dyDescent="0.35">
      <c r="A577" s="1">
        <v>46030.485381944447</v>
      </c>
      <c r="B577" t="s">
        <v>1133</v>
      </c>
      <c r="C577" t="s">
        <v>1134</v>
      </c>
      <c r="D577" t="s">
        <v>26</v>
      </c>
      <c r="E577">
        <v>850</v>
      </c>
      <c r="F577">
        <v>10.75</v>
      </c>
      <c r="G577" t="s">
        <v>21</v>
      </c>
      <c r="H577" t="s">
        <v>1135</v>
      </c>
      <c r="I577" t="s">
        <v>23</v>
      </c>
      <c r="J577" s="4" t="str">
        <f t="shared" si="8"/>
        <v>CGPOWER</v>
      </c>
    </row>
    <row r="578" spans="1:10" x14ac:dyDescent="0.35">
      <c r="A578" s="1">
        <v>46030.487581018519</v>
      </c>
      <c r="B578" t="s">
        <v>1123</v>
      </c>
      <c r="C578" t="s">
        <v>1124</v>
      </c>
      <c r="D578" t="s">
        <v>26</v>
      </c>
      <c r="E578">
        <v>20</v>
      </c>
      <c r="F578">
        <v>39.4</v>
      </c>
      <c r="G578" t="s">
        <v>32</v>
      </c>
      <c r="H578" t="s">
        <v>1136</v>
      </c>
      <c r="I578" t="s">
        <v>23</v>
      </c>
      <c r="J578" s="4" t="str">
        <f t="shared" si="8"/>
        <v>SENSEX</v>
      </c>
    </row>
    <row r="579" spans="1:10" x14ac:dyDescent="0.35">
      <c r="A579" s="1">
        <v>46030.570162037038</v>
      </c>
      <c r="B579" t="s">
        <v>1137</v>
      </c>
      <c r="C579" t="s">
        <v>1138</v>
      </c>
      <c r="D579" t="s">
        <v>26</v>
      </c>
      <c r="E579">
        <v>20</v>
      </c>
      <c r="F579">
        <v>418.15</v>
      </c>
      <c r="G579" t="s">
        <v>32</v>
      </c>
      <c r="H579" t="s">
        <v>1139</v>
      </c>
      <c r="I579" t="s">
        <v>23</v>
      </c>
      <c r="J579" s="4" t="str">
        <f t="shared" si="8"/>
        <v>SENSEX</v>
      </c>
    </row>
    <row r="580" spans="1:10" x14ac:dyDescent="0.35">
      <c r="A580" s="1">
        <v>46031.402499999997</v>
      </c>
      <c r="B580" t="s">
        <v>1112</v>
      </c>
      <c r="C580" t="s">
        <v>1113</v>
      </c>
      <c r="D580" t="s">
        <v>20</v>
      </c>
      <c r="E580">
        <v>100</v>
      </c>
      <c r="F580">
        <v>84.6</v>
      </c>
      <c r="G580" t="s">
        <v>21</v>
      </c>
      <c r="H580" t="s">
        <v>1140</v>
      </c>
      <c r="I580" t="s">
        <v>23</v>
      </c>
      <c r="J580" s="4" t="str">
        <f t="shared" si="8"/>
        <v>DIVISLAB</v>
      </c>
    </row>
    <row r="581" spans="1:10" x14ac:dyDescent="0.35">
      <c r="A581" s="1">
        <v>46031.596875000003</v>
      </c>
      <c r="B581" t="s">
        <v>1130</v>
      </c>
      <c r="C581" t="s">
        <v>1131</v>
      </c>
      <c r="D581" t="s">
        <v>20</v>
      </c>
      <c r="E581">
        <v>30</v>
      </c>
      <c r="F581">
        <v>389.1</v>
      </c>
      <c r="G581" t="s">
        <v>21</v>
      </c>
      <c r="H581" t="s">
        <v>1141</v>
      </c>
      <c r="I581" t="s">
        <v>23</v>
      </c>
      <c r="J581" s="4" t="str">
        <f t="shared" si="8"/>
        <v>BANKNIFTY</v>
      </c>
    </row>
    <row r="582" spans="1:10" x14ac:dyDescent="0.35">
      <c r="A582" s="1">
        <v>46031.605081018519</v>
      </c>
      <c r="B582" t="s">
        <v>1006</v>
      </c>
      <c r="C582" t="s">
        <v>1007</v>
      </c>
      <c r="D582" t="s">
        <v>20</v>
      </c>
      <c r="E582">
        <v>30</v>
      </c>
      <c r="F582">
        <v>324.75</v>
      </c>
      <c r="G582" t="s">
        <v>21</v>
      </c>
      <c r="H582" t="s">
        <v>1142</v>
      </c>
      <c r="I582" t="s">
        <v>23</v>
      </c>
      <c r="J582" s="4" t="str">
        <f t="shared" si="8"/>
        <v>BANKNIFTY</v>
      </c>
    </row>
    <row r="583" spans="1:10" x14ac:dyDescent="0.35">
      <c r="A583" s="1">
        <v>46035.595069444447</v>
      </c>
      <c r="B583" t="s">
        <v>1069</v>
      </c>
      <c r="C583" t="s">
        <v>1070</v>
      </c>
      <c r="D583" t="s">
        <v>20</v>
      </c>
      <c r="E583">
        <v>195</v>
      </c>
      <c r="F583">
        <v>0.4</v>
      </c>
      <c r="G583" t="s">
        <v>21</v>
      </c>
      <c r="H583" t="s">
        <v>1143</v>
      </c>
      <c r="I583" t="s">
        <v>23</v>
      </c>
      <c r="J583" s="4" t="str">
        <f t="shared" si="8"/>
        <v>NIFTY</v>
      </c>
    </row>
    <row r="584" spans="1:10" x14ac:dyDescent="0.35">
      <c r="A584" s="1">
        <v>46035.614756944444</v>
      </c>
      <c r="B584" t="s">
        <v>1060</v>
      </c>
      <c r="C584" t="s">
        <v>1061</v>
      </c>
      <c r="D584" t="s">
        <v>20</v>
      </c>
      <c r="E584">
        <v>65</v>
      </c>
      <c r="F584">
        <v>0.1</v>
      </c>
      <c r="G584" t="s">
        <v>21</v>
      </c>
      <c r="H584" t="s">
        <v>1144</v>
      </c>
      <c r="I584" t="s">
        <v>23</v>
      </c>
      <c r="J584" s="4" t="str">
        <f t="shared" si="8"/>
        <v>NIFTY</v>
      </c>
    </row>
    <row r="585" spans="1:10" x14ac:dyDescent="0.35">
      <c r="A585" s="1">
        <v>46036.625844907408</v>
      </c>
      <c r="B585" t="s">
        <v>1095</v>
      </c>
      <c r="C585" t="s">
        <v>1096</v>
      </c>
      <c r="D585" t="s">
        <v>20</v>
      </c>
      <c r="E585">
        <v>1225</v>
      </c>
      <c r="F585">
        <v>26.55</v>
      </c>
      <c r="G585" t="s">
        <v>21</v>
      </c>
      <c r="H585" t="s">
        <v>1145</v>
      </c>
      <c r="I585" t="s">
        <v>23</v>
      </c>
      <c r="J585" s="4" t="str">
        <f t="shared" ref="J585:J648" si="9">LEFT(B585,FIND(" ",B585)-1)</f>
        <v>HINDZINC</v>
      </c>
    </row>
    <row r="586" spans="1:10" x14ac:dyDescent="0.35">
      <c r="A586" s="1">
        <v>46038.408842592595</v>
      </c>
      <c r="B586" t="s">
        <v>1105</v>
      </c>
      <c r="C586" t="s">
        <v>1106</v>
      </c>
      <c r="D586" t="s">
        <v>20</v>
      </c>
      <c r="E586">
        <v>375</v>
      </c>
      <c r="F586">
        <v>2.0499999999999998</v>
      </c>
      <c r="G586" t="s">
        <v>21</v>
      </c>
      <c r="H586" t="s">
        <v>1146</v>
      </c>
      <c r="I586" t="s">
        <v>23</v>
      </c>
      <c r="J586" s="4" t="str">
        <f t="shared" si="9"/>
        <v>CIPLA</v>
      </c>
    </row>
    <row r="587" spans="1:10" x14ac:dyDescent="0.35">
      <c r="A587" s="1">
        <v>46043.538368055553</v>
      </c>
      <c r="B587" t="s">
        <v>1079</v>
      </c>
      <c r="C587" t="s">
        <v>1080</v>
      </c>
      <c r="D587" t="s">
        <v>20</v>
      </c>
      <c r="E587">
        <v>275</v>
      </c>
      <c r="F587">
        <v>110.5</v>
      </c>
      <c r="G587" t="s">
        <v>21</v>
      </c>
      <c r="H587" t="s">
        <v>1147</v>
      </c>
      <c r="I587" t="s">
        <v>23</v>
      </c>
      <c r="J587" s="4" t="str">
        <f t="shared" si="9"/>
        <v>MUTHOOTFIN</v>
      </c>
    </row>
    <row r="588" spans="1:10" x14ac:dyDescent="0.35">
      <c r="A588" s="1">
        <v>46045.63212962963</v>
      </c>
      <c r="B588" t="s">
        <v>1066</v>
      </c>
      <c r="C588" t="s">
        <v>1067</v>
      </c>
      <c r="D588" t="s">
        <v>20</v>
      </c>
      <c r="E588">
        <v>500</v>
      </c>
      <c r="F588">
        <v>0.15</v>
      </c>
      <c r="G588" t="s">
        <v>21</v>
      </c>
      <c r="H588" t="s">
        <v>1148</v>
      </c>
      <c r="I588" t="s">
        <v>23</v>
      </c>
      <c r="J588" s="4" t="str">
        <f t="shared" si="9"/>
        <v>RELIANCE</v>
      </c>
    </row>
    <row r="589" spans="1:10" x14ac:dyDescent="0.35">
      <c r="A589" s="1">
        <v>46045.63212962963</v>
      </c>
      <c r="B589" t="s">
        <v>1063</v>
      </c>
      <c r="C589" t="s">
        <v>1064</v>
      </c>
      <c r="D589" t="s">
        <v>20</v>
      </c>
      <c r="E589">
        <v>1200</v>
      </c>
      <c r="F589">
        <v>0.3</v>
      </c>
      <c r="G589" t="s">
        <v>21</v>
      </c>
      <c r="H589" t="s">
        <v>1149</v>
      </c>
      <c r="I589" t="s">
        <v>23</v>
      </c>
      <c r="J589" s="4" t="str">
        <f t="shared" si="9"/>
        <v>MARICO</v>
      </c>
    </row>
    <row r="590" spans="1:10" x14ac:dyDescent="0.35">
      <c r="A590" s="1">
        <v>46045.63212962963</v>
      </c>
      <c r="B590" t="s">
        <v>1076</v>
      </c>
      <c r="C590" t="s">
        <v>1077</v>
      </c>
      <c r="D590" t="s">
        <v>20</v>
      </c>
      <c r="E590">
        <v>30</v>
      </c>
      <c r="F590">
        <v>17.55</v>
      </c>
      <c r="G590" t="s">
        <v>21</v>
      </c>
      <c r="H590" t="s">
        <v>1150</v>
      </c>
      <c r="I590" t="s">
        <v>23</v>
      </c>
      <c r="J590" s="4" t="str">
        <f t="shared" si="9"/>
        <v>BANKNIFTY</v>
      </c>
    </row>
    <row r="591" spans="1:10" x14ac:dyDescent="0.35">
      <c r="A591" s="1">
        <v>46045.63212962963</v>
      </c>
      <c r="B591" t="s">
        <v>1073</v>
      </c>
      <c r="C591" t="s">
        <v>1074</v>
      </c>
      <c r="D591" t="s">
        <v>20</v>
      </c>
      <c r="E591">
        <v>60</v>
      </c>
      <c r="F591">
        <v>3</v>
      </c>
      <c r="G591" t="s">
        <v>21</v>
      </c>
      <c r="H591" t="s">
        <v>1151</v>
      </c>
      <c r="I591" t="s">
        <v>23</v>
      </c>
      <c r="J591" s="4" t="str">
        <f t="shared" si="9"/>
        <v>FINNIFTY</v>
      </c>
    </row>
    <row r="592" spans="1:10" x14ac:dyDescent="0.35">
      <c r="A592" s="1">
        <v>46045.63212962963</v>
      </c>
      <c r="B592" t="s">
        <v>1108</v>
      </c>
      <c r="C592" t="s">
        <v>1109</v>
      </c>
      <c r="D592" t="s">
        <v>20</v>
      </c>
      <c r="E592">
        <v>120</v>
      </c>
      <c r="F592">
        <v>1.05</v>
      </c>
      <c r="G592" t="s">
        <v>21</v>
      </c>
      <c r="H592" t="s">
        <v>1152</v>
      </c>
      <c r="I592" t="s">
        <v>23</v>
      </c>
      <c r="J592" s="4" t="str">
        <f t="shared" si="9"/>
        <v>MIDCPNIFTY</v>
      </c>
    </row>
    <row r="593" spans="1:10" x14ac:dyDescent="0.35">
      <c r="A593" s="1">
        <v>46045.63212962963</v>
      </c>
      <c r="B593" t="s">
        <v>1099</v>
      </c>
      <c r="C593" t="s">
        <v>1100</v>
      </c>
      <c r="D593" t="s">
        <v>20</v>
      </c>
      <c r="E593">
        <v>2500</v>
      </c>
      <c r="F593">
        <v>0.05</v>
      </c>
      <c r="G593" t="s">
        <v>21</v>
      </c>
      <c r="H593" t="s">
        <v>1153</v>
      </c>
      <c r="I593" t="s">
        <v>23</v>
      </c>
      <c r="J593" s="4" t="str">
        <f t="shared" si="9"/>
        <v>BIOCON</v>
      </c>
    </row>
    <row r="594" spans="1:10" x14ac:dyDescent="0.35">
      <c r="A594" s="1">
        <v>46045.63212962963</v>
      </c>
      <c r="B594" t="s">
        <v>1088</v>
      </c>
      <c r="C594" t="s">
        <v>1089</v>
      </c>
      <c r="D594" t="s">
        <v>20</v>
      </c>
      <c r="E594">
        <v>900</v>
      </c>
      <c r="F594">
        <v>0.2</v>
      </c>
      <c r="G594" t="s">
        <v>21</v>
      </c>
      <c r="H594" t="s">
        <v>1154</v>
      </c>
      <c r="I594" t="s">
        <v>23</v>
      </c>
      <c r="J594" s="4" t="str">
        <f t="shared" si="9"/>
        <v>ZYDUSLIFE</v>
      </c>
    </row>
    <row r="595" spans="1:10" x14ac:dyDescent="0.35">
      <c r="A595" s="1">
        <v>46045.63212962963</v>
      </c>
      <c r="B595" t="s">
        <v>1051</v>
      </c>
      <c r="C595" t="s">
        <v>1052</v>
      </c>
      <c r="D595" t="s">
        <v>20</v>
      </c>
      <c r="E595">
        <v>550</v>
      </c>
      <c r="F595">
        <v>0.05</v>
      </c>
      <c r="G595" t="s">
        <v>21</v>
      </c>
      <c r="H595" t="s">
        <v>1155</v>
      </c>
      <c r="I595" t="s">
        <v>23</v>
      </c>
      <c r="J595" s="4" t="str">
        <f t="shared" si="9"/>
        <v>HDFCBANK</v>
      </c>
    </row>
    <row r="596" spans="1:10" x14ac:dyDescent="0.35">
      <c r="A596" s="1">
        <v>46045.63212962963</v>
      </c>
      <c r="B596" t="s">
        <v>1120</v>
      </c>
      <c r="C596" t="s">
        <v>1121</v>
      </c>
      <c r="D596" t="s">
        <v>20</v>
      </c>
      <c r="E596">
        <v>550</v>
      </c>
      <c r="F596">
        <v>0.1</v>
      </c>
      <c r="G596" t="s">
        <v>21</v>
      </c>
      <c r="H596" t="s">
        <v>1156</v>
      </c>
      <c r="I596" t="s">
        <v>23</v>
      </c>
      <c r="J596" s="4" t="str">
        <f t="shared" si="9"/>
        <v>HDFCBANK</v>
      </c>
    </row>
    <row r="597" spans="1:10" x14ac:dyDescent="0.35">
      <c r="A597" s="1">
        <v>46045.643391203703</v>
      </c>
      <c r="B597" t="s">
        <v>1133</v>
      </c>
      <c r="C597" t="s">
        <v>1134</v>
      </c>
      <c r="D597" t="s">
        <v>20</v>
      </c>
      <c r="E597">
        <v>850</v>
      </c>
      <c r="F597">
        <v>0.05</v>
      </c>
      <c r="G597" t="s">
        <v>21</v>
      </c>
      <c r="H597" t="s">
        <v>1157</v>
      </c>
      <c r="I597" t="s">
        <v>23</v>
      </c>
      <c r="J597" s="4" t="str">
        <f t="shared" si="9"/>
        <v>CGPOWER</v>
      </c>
    </row>
    <row r="598" spans="1:10" x14ac:dyDescent="0.35">
      <c r="A598" s="1">
        <v>46049.399907407409</v>
      </c>
      <c r="B598" t="s">
        <v>1158</v>
      </c>
      <c r="C598" t="s">
        <v>1159</v>
      </c>
      <c r="D598" t="s">
        <v>26</v>
      </c>
      <c r="E598">
        <v>30</v>
      </c>
      <c r="F598">
        <v>58748.4</v>
      </c>
      <c r="G598" t="s">
        <v>21</v>
      </c>
      <c r="H598" t="s">
        <v>1160</v>
      </c>
      <c r="I598" t="s">
        <v>23</v>
      </c>
      <c r="J598" s="4" t="str">
        <f t="shared" si="9"/>
        <v>BANKNIFTY</v>
      </c>
    </row>
    <row r="599" spans="1:10" x14ac:dyDescent="0.35">
      <c r="A599" s="1">
        <v>46049.429166666669</v>
      </c>
      <c r="B599" t="s">
        <v>1158</v>
      </c>
      <c r="C599" t="s">
        <v>1159</v>
      </c>
      <c r="D599" t="s">
        <v>20</v>
      </c>
      <c r="E599">
        <v>30</v>
      </c>
      <c r="F599">
        <v>59114</v>
      </c>
      <c r="G599" t="s">
        <v>21</v>
      </c>
      <c r="H599" t="s">
        <v>1161</v>
      </c>
      <c r="I599" t="s">
        <v>23</v>
      </c>
      <c r="J599" s="4" t="str">
        <f t="shared" si="9"/>
        <v>BANKNIFTY</v>
      </c>
    </row>
    <row r="600" spans="1:10" x14ac:dyDescent="0.35">
      <c r="A600" s="1">
        <v>46049.457129629627</v>
      </c>
      <c r="B600" t="s">
        <v>1162</v>
      </c>
      <c r="C600" t="s">
        <v>1163</v>
      </c>
      <c r="D600" t="s">
        <v>26</v>
      </c>
      <c r="E600">
        <v>65</v>
      </c>
      <c r="F600">
        <v>25173.200000000001</v>
      </c>
      <c r="G600" t="s">
        <v>21</v>
      </c>
      <c r="H600" t="s">
        <v>1164</v>
      </c>
      <c r="I600" t="s">
        <v>23</v>
      </c>
      <c r="J600" s="4" t="str">
        <f t="shared" si="9"/>
        <v>NIFTY</v>
      </c>
    </row>
    <row r="601" spans="1:10" x14ac:dyDescent="0.35">
      <c r="A601" s="1">
        <v>46049.600023148145</v>
      </c>
      <c r="B601" t="s">
        <v>1162</v>
      </c>
      <c r="C601" t="s">
        <v>1163</v>
      </c>
      <c r="D601" t="s">
        <v>20</v>
      </c>
      <c r="E601">
        <v>65</v>
      </c>
      <c r="F601">
        <v>25189.8</v>
      </c>
      <c r="G601" t="s">
        <v>21</v>
      </c>
      <c r="H601" t="s">
        <v>1165</v>
      </c>
      <c r="I601" t="s">
        <v>23</v>
      </c>
      <c r="J601" s="4" t="str">
        <f t="shared" si="9"/>
        <v>NIFTY</v>
      </c>
    </row>
    <row r="602" spans="1:10" x14ac:dyDescent="0.35">
      <c r="A602" s="1">
        <v>46049.611354166664</v>
      </c>
      <c r="B602" t="s">
        <v>1166</v>
      </c>
      <c r="C602" t="s">
        <v>1167</v>
      </c>
      <c r="D602" t="s">
        <v>26</v>
      </c>
      <c r="E602">
        <v>120</v>
      </c>
      <c r="F602">
        <v>13078.8</v>
      </c>
      <c r="G602" t="s">
        <v>21</v>
      </c>
      <c r="H602" t="s">
        <v>1168</v>
      </c>
      <c r="I602" t="s">
        <v>23</v>
      </c>
      <c r="J602" s="4" t="str">
        <f t="shared" si="9"/>
        <v>MIDCPNIFTY</v>
      </c>
    </row>
    <row r="603" spans="1:10" x14ac:dyDescent="0.35">
      <c r="A603" s="1">
        <v>46049.630902777775</v>
      </c>
      <c r="B603" t="s">
        <v>1166</v>
      </c>
      <c r="C603" t="s">
        <v>1167</v>
      </c>
      <c r="D603" t="s">
        <v>20</v>
      </c>
      <c r="E603">
        <v>120</v>
      </c>
      <c r="F603">
        <v>13165.05</v>
      </c>
      <c r="G603" t="s">
        <v>21</v>
      </c>
      <c r="H603" t="s">
        <v>1169</v>
      </c>
      <c r="I603" t="s">
        <v>23</v>
      </c>
      <c r="J603" s="4" t="str">
        <f t="shared" si="9"/>
        <v>MIDCPNIFTY</v>
      </c>
    </row>
    <row r="604" spans="1:10" x14ac:dyDescent="0.35">
      <c r="A604" s="1">
        <v>46049.635185185187</v>
      </c>
      <c r="B604" t="s">
        <v>1170</v>
      </c>
      <c r="C604" t="s">
        <v>1171</v>
      </c>
      <c r="D604" t="s">
        <v>26</v>
      </c>
      <c r="E604">
        <v>50</v>
      </c>
      <c r="F604">
        <v>15353</v>
      </c>
      <c r="G604" t="s">
        <v>21</v>
      </c>
      <c r="H604" t="s">
        <v>1172</v>
      </c>
      <c r="I604" t="s">
        <v>23</v>
      </c>
      <c r="J604" s="4" t="str">
        <f t="shared" si="9"/>
        <v>MARUTI</v>
      </c>
    </row>
    <row r="605" spans="1:10" x14ac:dyDescent="0.35">
      <c r="A605" s="1">
        <v>46049.644872685189</v>
      </c>
      <c r="B605" t="s">
        <v>1170</v>
      </c>
      <c r="C605" t="s">
        <v>1171</v>
      </c>
      <c r="D605" t="s">
        <v>20</v>
      </c>
      <c r="E605">
        <v>50</v>
      </c>
      <c r="F605">
        <v>15357</v>
      </c>
      <c r="G605" t="s">
        <v>21</v>
      </c>
      <c r="H605" t="s">
        <v>1173</v>
      </c>
      <c r="I605" t="s">
        <v>23</v>
      </c>
      <c r="J605" s="4" t="str">
        <f t="shared" si="9"/>
        <v>MARUTI</v>
      </c>
    </row>
    <row r="606" spans="1:10" x14ac:dyDescent="0.35">
      <c r="A606" s="1">
        <v>46050.387361111112</v>
      </c>
      <c r="B606" t="s">
        <v>1174</v>
      </c>
      <c r="C606" t="s">
        <v>1175</v>
      </c>
      <c r="D606" t="s">
        <v>26</v>
      </c>
      <c r="E606">
        <v>675</v>
      </c>
      <c r="F606">
        <v>1225.2</v>
      </c>
      <c r="G606" t="s">
        <v>21</v>
      </c>
      <c r="H606" t="s">
        <v>1176</v>
      </c>
      <c r="I606" t="s">
        <v>23</v>
      </c>
      <c r="J606" s="4" t="str">
        <f t="shared" si="9"/>
        <v>JSWSTEEL</v>
      </c>
    </row>
    <row r="607" spans="1:10" x14ac:dyDescent="0.35">
      <c r="A607" s="1">
        <v>46050.468877314815</v>
      </c>
      <c r="B607" t="s">
        <v>1177</v>
      </c>
      <c r="C607" t="s">
        <v>1178</v>
      </c>
      <c r="D607" t="s">
        <v>26</v>
      </c>
      <c r="E607">
        <v>1225</v>
      </c>
      <c r="F607">
        <v>44.35</v>
      </c>
      <c r="G607" t="s">
        <v>21</v>
      </c>
      <c r="H607" t="s">
        <v>1179</v>
      </c>
      <c r="I607" t="s">
        <v>23</v>
      </c>
      <c r="J607" s="4" t="str">
        <f t="shared" si="9"/>
        <v>HINDZINC</v>
      </c>
    </row>
    <row r="608" spans="1:10" x14ac:dyDescent="0.35">
      <c r="A608" s="1">
        <v>46051.39167824074</v>
      </c>
      <c r="B608" t="s">
        <v>1180</v>
      </c>
      <c r="C608" t="s">
        <v>1181</v>
      </c>
      <c r="D608" t="s">
        <v>26</v>
      </c>
      <c r="E608">
        <v>120</v>
      </c>
      <c r="F608">
        <v>296.55</v>
      </c>
      <c r="G608" t="s">
        <v>21</v>
      </c>
      <c r="H608" t="s">
        <v>1182</v>
      </c>
      <c r="I608" t="s">
        <v>23</v>
      </c>
      <c r="J608" s="4" t="str">
        <f t="shared" si="9"/>
        <v>MIDCPNIFTY</v>
      </c>
    </row>
    <row r="609" spans="1:10" x14ac:dyDescent="0.35">
      <c r="A609" s="1">
        <v>46051.403796296298</v>
      </c>
      <c r="B609" t="s">
        <v>1183</v>
      </c>
      <c r="C609" t="s">
        <v>1184</v>
      </c>
      <c r="D609" t="s">
        <v>26</v>
      </c>
      <c r="E609">
        <v>30</v>
      </c>
      <c r="F609">
        <v>1039.95</v>
      </c>
      <c r="G609" t="s">
        <v>21</v>
      </c>
      <c r="H609" t="s">
        <v>1185</v>
      </c>
      <c r="I609" t="s">
        <v>23</v>
      </c>
      <c r="J609" s="4" t="str">
        <f t="shared" si="9"/>
        <v>BANKNIFTY</v>
      </c>
    </row>
    <row r="610" spans="1:10" x14ac:dyDescent="0.35">
      <c r="A610" s="1">
        <v>46051.465092592596</v>
      </c>
      <c r="B610" t="s">
        <v>1183</v>
      </c>
      <c r="C610" t="s">
        <v>1184</v>
      </c>
      <c r="D610" t="s">
        <v>20</v>
      </c>
      <c r="E610">
        <v>30</v>
      </c>
      <c r="F610">
        <v>1143.5</v>
      </c>
      <c r="G610" t="s">
        <v>21</v>
      </c>
      <c r="H610" t="s">
        <v>1186</v>
      </c>
      <c r="I610" t="s">
        <v>23</v>
      </c>
      <c r="J610" s="4" t="str">
        <f t="shared" si="9"/>
        <v>BANKNIFTY</v>
      </c>
    </row>
    <row r="611" spans="1:10" x14ac:dyDescent="0.35">
      <c r="A611" s="1">
        <v>46051.616944444446</v>
      </c>
      <c r="B611" t="s">
        <v>1180</v>
      </c>
      <c r="C611" t="s">
        <v>1181</v>
      </c>
      <c r="D611" t="s">
        <v>20</v>
      </c>
      <c r="E611">
        <v>120</v>
      </c>
      <c r="F611">
        <v>315.95</v>
      </c>
      <c r="G611" t="s">
        <v>21</v>
      </c>
      <c r="H611" t="s">
        <v>1187</v>
      </c>
      <c r="I611" t="s">
        <v>23</v>
      </c>
      <c r="J611" s="4" t="str">
        <f t="shared" si="9"/>
        <v>MIDCPNIFTY</v>
      </c>
    </row>
    <row r="612" spans="1:10" x14ac:dyDescent="0.35">
      <c r="A612" s="1">
        <v>46051.618379629632</v>
      </c>
      <c r="B612" t="s">
        <v>1174</v>
      </c>
      <c r="C612" t="s">
        <v>1175</v>
      </c>
      <c r="D612" t="s">
        <v>20</v>
      </c>
      <c r="E612">
        <v>675</v>
      </c>
      <c r="F612">
        <v>1241</v>
      </c>
      <c r="G612" t="s">
        <v>21</v>
      </c>
      <c r="H612" t="s">
        <v>1188</v>
      </c>
      <c r="I612" t="s">
        <v>23</v>
      </c>
      <c r="J612" s="4" t="str">
        <f t="shared" si="9"/>
        <v>JSWSTEEL</v>
      </c>
    </row>
    <row r="613" spans="1:10" x14ac:dyDescent="0.35">
      <c r="A613" s="1">
        <v>46051.644629629627</v>
      </c>
      <c r="B613" t="s">
        <v>1189</v>
      </c>
      <c r="C613" t="s">
        <v>1190</v>
      </c>
      <c r="D613" t="s">
        <v>26</v>
      </c>
      <c r="E613">
        <v>1900</v>
      </c>
      <c r="F613">
        <v>6.25</v>
      </c>
      <c r="G613" t="s">
        <v>21</v>
      </c>
      <c r="H613" t="s">
        <v>1191</v>
      </c>
      <c r="I613" t="s">
        <v>23</v>
      </c>
      <c r="J613" s="4" t="str">
        <f t="shared" si="9"/>
        <v>POWERGRID</v>
      </c>
    </row>
    <row r="614" spans="1:10" x14ac:dyDescent="0.35">
      <c r="A614" s="1">
        <v>46052.389201388891</v>
      </c>
      <c r="B614" t="s">
        <v>1170</v>
      </c>
      <c r="C614" t="s">
        <v>1171</v>
      </c>
      <c r="D614" t="s">
        <v>26</v>
      </c>
      <c r="E614">
        <v>50</v>
      </c>
      <c r="F614">
        <v>14638</v>
      </c>
      <c r="G614" t="s">
        <v>21</v>
      </c>
      <c r="H614" t="s">
        <v>1192</v>
      </c>
      <c r="I614" t="s">
        <v>23</v>
      </c>
      <c r="J614" s="4" t="str">
        <f t="shared" si="9"/>
        <v>MARUTI</v>
      </c>
    </row>
    <row r="615" spans="1:10" x14ac:dyDescent="0.35">
      <c r="A615" s="1">
        <v>46052.407638888886</v>
      </c>
      <c r="B615" t="s">
        <v>1180</v>
      </c>
      <c r="C615" t="s">
        <v>1181</v>
      </c>
      <c r="D615" t="s">
        <v>26</v>
      </c>
      <c r="E615">
        <v>120</v>
      </c>
      <c r="F615">
        <v>318.85000000000002</v>
      </c>
      <c r="G615" t="s">
        <v>21</v>
      </c>
      <c r="H615" t="s">
        <v>1193</v>
      </c>
      <c r="I615" t="s">
        <v>23</v>
      </c>
      <c r="J615" s="4" t="str">
        <f t="shared" si="9"/>
        <v>MIDCPNIFTY</v>
      </c>
    </row>
    <row r="616" spans="1:10" x14ac:dyDescent="0.35">
      <c r="A616" s="1">
        <v>46052.484849537039</v>
      </c>
      <c r="B616" t="s">
        <v>1170</v>
      </c>
      <c r="C616" t="s">
        <v>1171</v>
      </c>
      <c r="D616" t="s">
        <v>20</v>
      </c>
      <c r="E616">
        <v>50</v>
      </c>
      <c r="F616">
        <v>14369</v>
      </c>
      <c r="G616" t="s">
        <v>21</v>
      </c>
      <c r="H616" t="s">
        <v>1194</v>
      </c>
      <c r="I616" t="s">
        <v>23</v>
      </c>
      <c r="J616" s="4" t="str">
        <f t="shared" si="9"/>
        <v>MARUTI</v>
      </c>
    </row>
    <row r="617" spans="1:10" x14ac:dyDescent="0.35">
      <c r="A617" s="1">
        <v>46052.51421296296</v>
      </c>
      <c r="B617" t="s">
        <v>1195</v>
      </c>
      <c r="C617" t="s">
        <v>1196</v>
      </c>
      <c r="D617" t="s">
        <v>26</v>
      </c>
      <c r="E617">
        <v>50</v>
      </c>
      <c r="F617">
        <v>399</v>
      </c>
      <c r="G617" t="s">
        <v>21</v>
      </c>
      <c r="H617" t="s">
        <v>1197</v>
      </c>
      <c r="I617" t="s">
        <v>23</v>
      </c>
      <c r="J617" s="4" t="str">
        <f t="shared" si="9"/>
        <v>MARUTI</v>
      </c>
    </row>
    <row r="618" spans="1:10" x14ac:dyDescent="0.35">
      <c r="A618" s="1">
        <v>46052.552627314813</v>
      </c>
      <c r="B618" t="s">
        <v>1180</v>
      </c>
      <c r="C618" t="s">
        <v>1181</v>
      </c>
      <c r="D618" t="s">
        <v>20</v>
      </c>
      <c r="E618">
        <v>120</v>
      </c>
      <c r="F618">
        <v>268.7</v>
      </c>
      <c r="G618" t="s">
        <v>21</v>
      </c>
      <c r="H618" t="s">
        <v>1198</v>
      </c>
      <c r="I618" t="s">
        <v>23</v>
      </c>
      <c r="J618" s="4" t="str">
        <f t="shared" si="9"/>
        <v>MIDCPNIFTY</v>
      </c>
    </row>
    <row r="619" spans="1:10" x14ac:dyDescent="0.35">
      <c r="A619" s="1">
        <v>46052.552986111114</v>
      </c>
      <c r="B619" t="s">
        <v>1199</v>
      </c>
      <c r="C619" t="s">
        <v>1200</v>
      </c>
      <c r="D619" t="s">
        <v>26</v>
      </c>
      <c r="E619">
        <v>65</v>
      </c>
      <c r="F619">
        <v>93.55</v>
      </c>
      <c r="G619" t="s">
        <v>21</v>
      </c>
      <c r="H619" t="s">
        <v>1201</v>
      </c>
      <c r="I619" t="s">
        <v>23</v>
      </c>
      <c r="J619" s="4" t="str">
        <f t="shared" si="9"/>
        <v>NIFTY</v>
      </c>
    </row>
    <row r="620" spans="1:10" x14ac:dyDescent="0.35">
      <c r="A620" s="1">
        <v>46052.574930555558</v>
      </c>
      <c r="B620" t="s">
        <v>1195</v>
      </c>
      <c r="C620" t="s">
        <v>1196</v>
      </c>
      <c r="D620" t="s">
        <v>20</v>
      </c>
      <c r="E620">
        <v>50</v>
      </c>
      <c r="F620">
        <v>421.5</v>
      </c>
      <c r="G620" t="s">
        <v>21</v>
      </c>
      <c r="H620" t="s">
        <v>1202</v>
      </c>
      <c r="I620" t="s">
        <v>23</v>
      </c>
      <c r="J620" s="4" t="str">
        <f t="shared" si="9"/>
        <v>MARUTI</v>
      </c>
    </row>
    <row r="621" spans="1:10" x14ac:dyDescent="0.35">
      <c r="A621" s="1">
        <v>46052.578935185185</v>
      </c>
      <c r="B621" t="s">
        <v>1166</v>
      </c>
      <c r="C621" t="s">
        <v>1167</v>
      </c>
      <c r="D621" t="s">
        <v>26</v>
      </c>
      <c r="E621">
        <v>120</v>
      </c>
      <c r="F621">
        <v>13421.3</v>
      </c>
      <c r="G621" t="s">
        <v>21</v>
      </c>
      <c r="H621" t="s">
        <v>1203</v>
      </c>
      <c r="I621" t="s">
        <v>23</v>
      </c>
      <c r="J621" s="4" t="str">
        <f t="shared" si="9"/>
        <v>MIDCPNIFTY</v>
      </c>
    </row>
    <row r="622" spans="1:10" x14ac:dyDescent="0.35">
      <c r="A622" s="1">
        <v>46052.632824074077</v>
      </c>
      <c r="B622" t="s">
        <v>1199</v>
      </c>
      <c r="C622" t="s">
        <v>1200</v>
      </c>
      <c r="D622" t="s">
        <v>20</v>
      </c>
      <c r="E622">
        <v>65</v>
      </c>
      <c r="F622">
        <v>54.7</v>
      </c>
      <c r="G622" t="s">
        <v>21</v>
      </c>
      <c r="H622" t="s">
        <v>1204</v>
      </c>
      <c r="I622" t="s">
        <v>23</v>
      </c>
      <c r="J622" s="4" t="str">
        <f t="shared" si="9"/>
        <v>NIFTY</v>
      </c>
    </row>
    <row r="623" spans="1:10" x14ac:dyDescent="0.35">
      <c r="A623" s="1">
        <v>46055.603078703702</v>
      </c>
      <c r="B623" t="s">
        <v>1189</v>
      </c>
      <c r="C623" t="s">
        <v>1190</v>
      </c>
      <c r="D623" t="s">
        <v>20</v>
      </c>
      <c r="E623">
        <v>1900</v>
      </c>
      <c r="F623">
        <v>6.75</v>
      </c>
      <c r="G623" t="s">
        <v>21</v>
      </c>
      <c r="H623" t="s">
        <v>1205</v>
      </c>
      <c r="I623" t="s">
        <v>23</v>
      </c>
      <c r="J623" s="4" t="str">
        <f t="shared" si="9"/>
        <v>POWERGRID</v>
      </c>
    </row>
    <row r="624" spans="1:10" x14ac:dyDescent="0.35">
      <c r="A624" s="1">
        <v>46056.386782407404</v>
      </c>
      <c r="B624" t="s">
        <v>1166</v>
      </c>
      <c r="C624" t="s">
        <v>1167</v>
      </c>
      <c r="D624" t="s">
        <v>20</v>
      </c>
      <c r="E624">
        <v>120</v>
      </c>
      <c r="F624">
        <v>13920.3</v>
      </c>
      <c r="G624" t="s">
        <v>21</v>
      </c>
      <c r="H624" t="s">
        <v>1206</v>
      </c>
      <c r="I624" t="s">
        <v>23</v>
      </c>
      <c r="J624" s="4" t="str">
        <f t="shared" si="9"/>
        <v>MIDCPNIFTY</v>
      </c>
    </row>
    <row r="625" spans="1:10" x14ac:dyDescent="0.35">
      <c r="A625" s="1">
        <v>46057.398379629631</v>
      </c>
      <c r="B625" t="s">
        <v>1166</v>
      </c>
      <c r="C625" t="s">
        <v>1167</v>
      </c>
      <c r="D625" t="s">
        <v>26</v>
      </c>
      <c r="E625">
        <v>120</v>
      </c>
      <c r="F625">
        <v>13674.95</v>
      </c>
      <c r="G625" t="s">
        <v>21</v>
      </c>
      <c r="H625" t="s">
        <v>1207</v>
      </c>
      <c r="I625" t="s">
        <v>23</v>
      </c>
      <c r="J625" s="4" t="str">
        <f t="shared" si="9"/>
        <v>MIDCPNIFTY</v>
      </c>
    </row>
    <row r="626" spans="1:10" x14ac:dyDescent="0.35">
      <c r="A626" s="1">
        <v>46057.588263888887</v>
      </c>
      <c r="B626" t="s">
        <v>1166</v>
      </c>
      <c r="C626" t="s">
        <v>1167</v>
      </c>
      <c r="D626" t="s">
        <v>20</v>
      </c>
      <c r="E626">
        <v>120</v>
      </c>
      <c r="F626">
        <v>13734</v>
      </c>
      <c r="G626" t="s">
        <v>21</v>
      </c>
      <c r="H626" t="s">
        <v>1208</v>
      </c>
      <c r="I626" t="s">
        <v>23</v>
      </c>
      <c r="J626" s="4" t="str">
        <f t="shared" si="9"/>
        <v>MIDCPNIFTY</v>
      </c>
    </row>
    <row r="627" spans="1:10" x14ac:dyDescent="0.35">
      <c r="A627" s="1">
        <v>46057.592951388891</v>
      </c>
      <c r="B627" t="s">
        <v>1158</v>
      </c>
      <c r="C627" t="s">
        <v>1159</v>
      </c>
      <c r="D627" t="s">
        <v>26</v>
      </c>
      <c r="E627">
        <v>30</v>
      </c>
      <c r="F627">
        <v>60491.199999999997</v>
      </c>
      <c r="G627" t="s">
        <v>21</v>
      </c>
      <c r="H627" t="s">
        <v>1209</v>
      </c>
      <c r="I627" t="s">
        <v>23</v>
      </c>
      <c r="J627" s="4" t="str">
        <f t="shared" si="9"/>
        <v>BANKNIFTY</v>
      </c>
    </row>
    <row r="628" spans="1:10" x14ac:dyDescent="0.35">
      <c r="A628" s="1">
        <v>46057.612303240741</v>
      </c>
      <c r="B628" t="s">
        <v>1158</v>
      </c>
      <c r="C628" t="s">
        <v>1159</v>
      </c>
      <c r="D628" t="s">
        <v>20</v>
      </c>
      <c r="E628">
        <v>30</v>
      </c>
      <c r="F628">
        <v>60515</v>
      </c>
      <c r="G628" t="s">
        <v>21</v>
      </c>
      <c r="H628" t="s">
        <v>1210</v>
      </c>
      <c r="I628" t="s">
        <v>23</v>
      </c>
      <c r="J628" s="4" t="str">
        <f t="shared" si="9"/>
        <v>BANKNIFTY</v>
      </c>
    </row>
    <row r="629" spans="1:10" x14ac:dyDescent="0.35">
      <c r="A629" s="1">
        <v>46058.387986111113</v>
      </c>
      <c r="B629" t="s">
        <v>1211</v>
      </c>
      <c r="C629" t="s">
        <v>1212</v>
      </c>
      <c r="D629" t="s">
        <v>26</v>
      </c>
      <c r="E629">
        <v>350</v>
      </c>
      <c r="F629">
        <v>1555</v>
      </c>
      <c r="G629" t="s">
        <v>21</v>
      </c>
      <c r="H629" t="s">
        <v>1213</v>
      </c>
      <c r="I629" t="s">
        <v>23</v>
      </c>
      <c r="J629" s="4" t="str">
        <f t="shared" si="9"/>
        <v>OBEROIRLTY</v>
      </c>
    </row>
    <row r="630" spans="1:10" x14ac:dyDescent="0.35">
      <c r="A630" s="1">
        <v>46058.41070601852</v>
      </c>
      <c r="B630" t="s">
        <v>1214</v>
      </c>
      <c r="C630" t="s">
        <v>1215</v>
      </c>
      <c r="D630" t="s">
        <v>26</v>
      </c>
      <c r="E630">
        <v>65</v>
      </c>
      <c r="F630">
        <v>238.95</v>
      </c>
      <c r="G630" t="s">
        <v>21</v>
      </c>
      <c r="H630" t="s">
        <v>1216</v>
      </c>
      <c r="I630" t="s">
        <v>23</v>
      </c>
      <c r="J630" s="4" t="str">
        <f t="shared" si="9"/>
        <v>NIFTY</v>
      </c>
    </row>
    <row r="631" spans="1:10" x14ac:dyDescent="0.35">
      <c r="A631" s="1">
        <v>46058.435960648145</v>
      </c>
      <c r="B631" t="s">
        <v>1217</v>
      </c>
      <c r="C631" t="s">
        <v>1218</v>
      </c>
      <c r="D631" t="s">
        <v>26</v>
      </c>
      <c r="E631">
        <v>475</v>
      </c>
      <c r="F631">
        <v>41.8</v>
      </c>
      <c r="G631" t="s">
        <v>21</v>
      </c>
      <c r="H631" t="s">
        <v>1219</v>
      </c>
      <c r="I631" t="s">
        <v>23</v>
      </c>
      <c r="J631" s="4" t="str">
        <f t="shared" si="9"/>
        <v>BHARTIARTL</v>
      </c>
    </row>
    <row r="632" spans="1:10" x14ac:dyDescent="0.35">
      <c r="A632" s="1">
        <v>46058.488726851851</v>
      </c>
      <c r="B632" t="s">
        <v>1220</v>
      </c>
      <c r="C632" t="s">
        <v>1221</v>
      </c>
      <c r="D632" t="s">
        <v>26</v>
      </c>
      <c r="E632">
        <v>6750</v>
      </c>
      <c r="F632">
        <v>4.1500000000000004</v>
      </c>
      <c r="G632" t="s">
        <v>21</v>
      </c>
      <c r="H632" t="s">
        <v>1222</v>
      </c>
      <c r="I632" t="s">
        <v>23</v>
      </c>
      <c r="J632" s="4" t="str">
        <f t="shared" si="9"/>
        <v>CANBK</v>
      </c>
    </row>
    <row r="633" spans="1:10" x14ac:dyDescent="0.35">
      <c r="A633" s="1">
        <v>46059.385451388887</v>
      </c>
      <c r="B633" t="s">
        <v>1214</v>
      </c>
      <c r="C633" t="s">
        <v>1215</v>
      </c>
      <c r="D633" t="s">
        <v>20</v>
      </c>
      <c r="E633">
        <v>65</v>
      </c>
      <c r="F633">
        <v>174.1</v>
      </c>
      <c r="G633" t="s">
        <v>21</v>
      </c>
      <c r="H633" t="s">
        <v>1223</v>
      </c>
      <c r="I633" t="s">
        <v>23</v>
      </c>
      <c r="J633" s="4" t="str">
        <f t="shared" si="9"/>
        <v>NIFTY</v>
      </c>
    </row>
    <row r="634" spans="1:10" x14ac:dyDescent="0.35">
      <c r="A634" s="1">
        <v>46059.385451388887</v>
      </c>
      <c r="B634" t="s">
        <v>1217</v>
      </c>
      <c r="C634" t="s">
        <v>1218</v>
      </c>
      <c r="D634" t="s">
        <v>20</v>
      </c>
      <c r="E634">
        <v>475</v>
      </c>
      <c r="F634">
        <v>29.7</v>
      </c>
      <c r="G634" t="s">
        <v>21</v>
      </c>
      <c r="H634" t="s">
        <v>1224</v>
      </c>
      <c r="I634" t="s">
        <v>23</v>
      </c>
      <c r="J634" s="4" t="str">
        <f t="shared" si="9"/>
        <v>BHARTIARTL</v>
      </c>
    </row>
    <row r="635" spans="1:10" x14ac:dyDescent="0.35">
      <c r="A635" s="1">
        <v>46059.401076388887</v>
      </c>
      <c r="B635" t="s">
        <v>1220</v>
      </c>
      <c r="C635" t="s">
        <v>1221</v>
      </c>
      <c r="D635" t="s">
        <v>20</v>
      </c>
      <c r="E635">
        <v>6750</v>
      </c>
      <c r="F635">
        <v>3.47</v>
      </c>
      <c r="G635" t="s">
        <v>21</v>
      </c>
      <c r="H635" t="s">
        <v>1225</v>
      </c>
      <c r="I635" t="s">
        <v>23</v>
      </c>
      <c r="J635" s="4" t="str">
        <f t="shared" si="9"/>
        <v>CANBK</v>
      </c>
    </row>
    <row r="636" spans="1:10" x14ac:dyDescent="0.35">
      <c r="A636" s="1">
        <v>46059.429918981485</v>
      </c>
      <c r="B636" t="s">
        <v>1226</v>
      </c>
      <c r="C636" t="s">
        <v>1227</v>
      </c>
      <c r="D636" t="s">
        <v>26</v>
      </c>
      <c r="E636">
        <v>120</v>
      </c>
      <c r="F636">
        <v>207</v>
      </c>
      <c r="G636" t="s">
        <v>21</v>
      </c>
      <c r="H636" t="s">
        <v>1228</v>
      </c>
      <c r="I636" t="s">
        <v>23</v>
      </c>
      <c r="J636" s="4" t="str">
        <f t="shared" si="9"/>
        <v>MIDCPNIFTY</v>
      </c>
    </row>
    <row r="637" spans="1:10" x14ac:dyDescent="0.35">
      <c r="A637" s="1">
        <v>46059.499652777777</v>
      </c>
      <c r="B637" t="s">
        <v>1229</v>
      </c>
      <c r="C637" t="s">
        <v>1230</v>
      </c>
      <c r="D637" t="s">
        <v>26</v>
      </c>
      <c r="E637">
        <v>2000</v>
      </c>
      <c r="F637">
        <v>12.05</v>
      </c>
      <c r="G637" t="s">
        <v>21</v>
      </c>
      <c r="H637" t="s">
        <v>1231</v>
      </c>
      <c r="I637" t="s">
        <v>23</v>
      </c>
      <c r="J637" s="4" t="str">
        <f t="shared" si="9"/>
        <v>KOTAKBANK</v>
      </c>
    </row>
    <row r="638" spans="1:10" x14ac:dyDescent="0.35">
      <c r="A638" s="1">
        <v>46059.520358796297</v>
      </c>
      <c r="B638" t="s">
        <v>1229</v>
      </c>
      <c r="C638" t="s">
        <v>1230</v>
      </c>
      <c r="D638" t="s">
        <v>26</v>
      </c>
      <c r="E638">
        <v>2000</v>
      </c>
      <c r="F638">
        <v>10.4</v>
      </c>
      <c r="G638" t="s">
        <v>21</v>
      </c>
      <c r="H638" t="s">
        <v>1232</v>
      </c>
      <c r="I638" t="s">
        <v>23</v>
      </c>
      <c r="J638" s="4" t="str">
        <f t="shared" si="9"/>
        <v>KOTAKBANK</v>
      </c>
    </row>
    <row r="639" spans="1:10" x14ac:dyDescent="0.35">
      <c r="A639" s="1">
        <v>46059.588182870371</v>
      </c>
      <c r="B639" t="s">
        <v>1229</v>
      </c>
      <c r="C639" t="s">
        <v>1230</v>
      </c>
      <c r="D639" t="s">
        <v>20</v>
      </c>
      <c r="E639">
        <v>4000</v>
      </c>
      <c r="F639">
        <v>8.3000000000000007</v>
      </c>
      <c r="G639" t="s">
        <v>21</v>
      </c>
      <c r="H639" t="s">
        <v>1233</v>
      </c>
      <c r="I639" t="s">
        <v>23</v>
      </c>
      <c r="J639" s="4" t="str">
        <f t="shared" si="9"/>
        <v>KOTAKBANK</v>
      </c>
    </row>
    <row r="640" spans="1:10" x14ac:dyDescent="0.35">
      <c r="A640" s="1">
        <v>46059.608194444445</v>
      </c>
      <c r="B640" t="s">
        <v>1226</v>
      </c>
      <c r="C640" t="s">
        <v>1227</v>
      </c>
      <c r="D640" t="s">
        <v>20</v>
      </c>
      <c r="E640">
        <v>120</v>
      </c>
      <c r="F640">
        <v>214.75</v>
      </c>
      <c r="G640" t="s">
        <v>21</v>
      </c>
      <c r="H640" t="s">
        <v>1234</v>
      </c>
      <c r="I640" t="s">
        <v>23</v>
      </c>
      <c r="J640" s="4" t="str">
        <f t="shared" si="9"/>
        <v>MIDCPNIFTY</v>
      </c>
    </row>
    <row r="641" spans="1:10" x14ac:dyDescent="0.35">
      <c r="A641" s="1">
        <v>46062.643391203703</v>
      </c>
      <c r="B641" t="s">
        <v>1211</v>
      </c>
      <c r="C641" t="s">
        <v>1212</v>
      </c>
      <c r="D641" t="s">
        <v>20</v>
      </c>
      <c r="E641">
        <v>350</v>
      </c>
      <c r="F641">
        <v>1569</v>
      </c>
      <c r="G641" t="s">
        <v>21</v>
      </c>
      <c r="H641" t="s">
        <v>1235</v>
      </c>
      <c r="I641" t="s">
        <v>23</v>
      </c>
      <c r="J641" s="4" t="str">
        <f t="shared" si="9"/>
        <v>OBEROIRLTY</v>
      </c>
    </row>
    <row r="642" spans="1:10" x14ac:dyDescent="0.35">
      <c r="A642" s="1">
        <v>46063.570960648147</v>
      </c>
      <c r="B642" t="s">
        <v>1236</v>
      </c>
      <c r="C642" t="s">
        <v>1237</v>
      </c>
      <c r="D642" t="s">
        <v>26</v>
      </c>
      <c r="E642">
        <v>25</v>
      </c>
      <c r="F642">
        <v>69756</v>
      </c>
      <c r="G642" t="s">
        <v>21</v>
      </c>
      <c r="H642" t="s">
        <v>1238</v>
      </c>
      <c r="I642" t="s">
        <v>23</v>
      </c>
      <c r="J642" s="4" t="str">
        <f t="shared" si="9"/>
        <v>NIFTYNXT50</v>
      </c>
    </row>
    <row r="643" spans="1:10" x14ac:dyDescent="0.35">
      <c r="A643" s="1">
        <v>46063.63349537037</v>
      </c>
      <c r="B643" t="s">
        <v>1236</v>
      </c>
      <c r="C643" t="s">
        <v>1237</v>
      </c>
      <c r="D643" t="s">
        <v>20</v>
      </c>
      <c r="E643">
        <v>25</v>
      </c>
      <c r="F643">
        <v>69842.600000000006</v>
      </c>
      <c r="G643" t="s">
        <v>21</v>
      </c>
      <c r="H643" t="s">
        <v>1239</v>
      </c>
      <c r="I643" t="s">
        <v>23</v>
      </c>
      <c r="J643" s="4" t="str">
        <f t="shared" si="9"/>
        <v>NIFTYNXT50</v>
      </c>
    </row>
    <row r="644" spans="1:10" x14ac:dyDescent="0.35">
      <c r="A644" s="1">
        <v>46064.408263888887</v>
      </c>
      <c r="B644" t="s">
        <v>1166</v>
      </c>
      <c r="C644" t="s">
        <v>1167</v>
      </c>
      <c r="D644" t="s">
        <v>26</v>
      </c>
      <c r="E644">
        <v>120</v>
      </c>
      <c r="F644">
        <v>13932.1</v>
      </c>
      <c r="G644" t="s">
        <v>21</v>
      </c>
      <c r="H644" t="s">
        <v>1240</v>
      </c>
      <c r="I644" t="s">
        <v>23</v>
      </c>
      <c r="J644" s="4" t="str">
        <f t="shared" si="9"/>
        <v>MIDCPNIFTY</v>
      </c>
    </row>
    <row r="645" spans="1:10" x14ac:dyDescent="0.35">
      <c r="A645" s="1">
        <v>46064.500150462962</v>
      </c>
      <c r="B645" t="s">
        <v>1166</v>
      </c>
      <c r="C645" t="s">
        <v>1167</v>
      </c>
      <c r="D645" t="s">
        <v>20</v>
      </c>
      <c r="E645">
        <v>120</v>
      </c>
      <c r="F645">
        <v>13938.3</v>
      </c>
      <c r="G645" t="s">
        <v>21</v>
      </c>
      <c r="H645" t="s">
        <v>1241</v>
      </c>
      <c r="I645" t="s">
        <v>23</v>
      </c>
      <c r="J645" s="4" t="str">
        <f t="shared" si="9"/>
        <v>MIDCPNIFTY</v>
      </c>
    </row>
    <row r="646" spans="1:10" x14ac:dyDescent="0.35">
      <c r="A646" s="1">
        <v>46064.533564814818</v>
      </c>
      <c r="B646" t="s">
        <v>1242</v>
      </c>
      <c r="C646" t="s">
        <v>1243</v>
      </c>
      <c r="D646" t="s">
        <v>26</v>
      </c>
      <c r="E646">
        <v>475</v>
      </c>
      <c r="F646">
        <v>1392.9</v>
      </c>
      <c r="G646" t="s">
        <v>21</v>
      </c>
      <c r="H646" t="s">
        <v>1244</v>
      </c>
      <c r="I646" t="s">
        <v>23</v>
      </c>
      <c r="J646" s="4" t="str">
        <f t="shared" si="9"/>
        <v>CDSL</v>
      </c>
    </row>
    <row r="647" spans="1:10" x14ac:dyDescent="0.35">
      <c r="A647" s="1">
        <v>46064.598182870373</v>
      </c>
      <c r="B647" t="s">
        <v>1242</v>
      </c>
      <c r="C647" t="s">
        <v>1243</v>
      </c>
      <c r="D647" t="s">
        <v>20</v>
      </c>
      <c r="E647">
        <v>475</v>
      </c>
      <c r="F647">
        <v>1395.2</v>
      </c>
      <c r="G647" t="s">
        <v>21</v>
      </c>
      <c r="H647" t="s">
        <v>1245</v>
      </c>
      <c r="I647" t="s">
        <v>23</v>
      </c>
      <c r="J647" s="4" t="str">
        <f t="shared" si="9"/>
        <v>CDSL</v>
      </c>
    </row>
    <row r="648" spans="1:10" x14ac:dyDescent="0.35">
      <c r="A648" s="1">
        <v>46066.437349537038</v>
      </c>
      <c r="B648" t="s">
        <v>1246</v>
      </c>
      <c r="C648" t="s">
        <v>1247</v>
      </c>
      <c r="D648" t="s">
        <v>26</v>
      </c>
      <c r="E648">
        <v>175</v>
      </c>
      <c r="F648">
        <v>2651.1</v>
      </c>
      <c r="G648" t="s">
        <v>21</v>
      </c>
      <c r="H648" t="s">
        <v>1248</v>
      </c>
      <c r="I648" t="s">
        <v>23</v>
      </c>
      <c r="J648" s="4" t="str">
        <f t="shared" si="9"/>
        <v>TCS</v>
      </c>
    </row>
    <row r="649" spans="1:10" x14ac:dyDescent="0.35">
      <c r="A649" s="1">
        <v>46066.44771990741</v>
      </c>
      <c r="B649" t="s">
        <v>1249</v>
      </c>
      <c r="C649" t="s">
        <v>1250</v>
      </c>
      <c r="D649" t="s">
        <v>26</v>
      </c>
      <c r="E649">
        <v>550</v>
      </c>
      <c r="F649">
        <v>923.75</v>
      </c>
      <c r="G649" t="s">
        <v>21</v>
      </c>
      <c r="H649" t="s">
        <v>1251</v>
      </c>
      <c r="I649" t="s">
        <v>23</v>
      </c>
      <c r="J649" s="4" t="str">
        <f t="shared" ref="J649:J712" si="10">LEFT(B649,FIND(" ",B649)-1)</f>
        <v>HDFCBANK</v>
      </c>
    </row>
    <row r="650" spans="1:10" x14ac:dyDescent="0.35">
      <c r="A650" s="1">
        <v>46066.525138888886</v>
      </c>
      <c r="B650" t="s">
        <v>1246</v>
      </c>
      <c r="C650" t="s">
        <v>1247</v>
      </c>
      <c r="D650" t="s">
        <v>20</v>
      </c>
      <c r="E650">
        <v>175</v>
      </c>
      <c r="F650">
        <v>2712.1</v>
      </c>
      <c r="G650" t="s">
        <v>21</v>
      </c>
      <c r="H650" t="s">
        <v>1252</v>
      </c>
      <c r="I650" t="s">
        <v>23</v>
      </c>
      <c r="J650" s="4" t="str">
        <f t="shared" si="10"/>
        <v>TCS</v>
      </c>
    </row>
    <row r="651" spans="1:10" x14ac:dyDescent="0.35">
      <c r="A651" s="1">
        <v>46069.396689814814</v>
      </c>
      <c r="B651" t="s">
        <v>1166</v>
      </c>
      <c r="C651" t="s">
        <v>1167</v>
      </c>
      <c r="D651" t="s">
        <v>26</v>
      </c>
      <c r="E651">
        <v>120</v>
      </c>
      <c r="F651">
        <v>13580.5</v>
      </c>
      <c r="G651" t="s">
        <v>21</v>
      </c>
      <c r="H651" t="s">
        <v>1253</v>
      </c>
      <c r="I651" t="s">
        <v>23</v>
      </c>
      <c r="J651" s="4" t="str">
        <f t="shared" si="10"/>
        <v>MIDCPNIFTY</v>
      </c>
    </row>
    <row r="652" spans="1:10" x14ac:dyDescent="0.35">
      <c r="A652" s="1">
        <v>46069.441712962966</v>
      </c>
      <c r="B652" t="s">
        <v>1249</v>
      </c>
      <c r="C652" t="s">
        <v>1250</v>
      </c>
      <c r="D652" t="s">
        <v>20</v>
      </c>
      <c r="E652">
        <v>550</v>
      </c>
      <c r="F652">
        <v>925.7</v>
      </c>
      <c r="G652" t="s">
        <v>21</v>
      </c>
      <c r="H652" t="s">
        <v>1254</v>
      </c>
      <c r="I652" t="s">
        <v>23</v>
      </c>
      <c r="J652" s="4" t="str">
        <f t="shared" si="10"/>
        <v>HDFCBANK</v>
      </c>
    </row>
    <row r="653" spans="1:10" x14ac:dyDescent="0.35">
      <c r="A653" s="1">
        <v>46069.53434027778</v>
      </c>
      <c r="B653" t="s">
        <v>1166</v>
      </c>
      <c r="C653" t="s">
        <v>1167</v>
      </c>
      <c r="D653" t="s">
        <v>20</v>
      </c>
      <c r="E653">
        <v>120</v>
      </c>
      <c r="F653">
        <v>13587.1</v>
      </c>
      <c r="G653" t="s">
        <v>21</v>
      </c>
      <c r="H653" t="s">
        <v>1255</v>
      </c>
      <c r="I653" t="s">
        <v>23</v>
      </c>
      <c r="J653" s="4" t="str">
        <f t="shared" si="10"/>
        <v>MIDCPNIFTY</v>
      </c>
    </row>
    <row r="654" spans="1:10" x14ac:dyDescent="0.35">
      <c r="A654" s="1">
        <v>46069.553495370368</v>
      </c>
      <c r="B654" t="s">
        <v>1256</v>
      </c>
      <c r="C654" t="s">
        <v>1257</v>
      </c>
      <c r="D654" t="s">
        <v>26</v>
      </c>
      <c r="E654">
        <v>50</v>
      </c>
      <c r="F654">
        <v>15129</v>
      </c>
      <c r="G654" t="s">
        <v>21</v>
      </c>
      <c r="H654" t="s">
        <v>1258</v>
      </c>
      <c r="I654" t="s">
        <v>23</v>
      </c>
      <c r="J654" s="4" t="str">
        <f t="shared" si="10"/>
        <v>MARUTI</v>
      </c>
    </row>
    <row r="655" spans="1:10" x14ac:dyDescent="0.35">
      <c r="A655" s="1">
        <v>46069.562627314815</v>
      </c>
      <c r="B655" t="s">
        <v>1259</v>
      </c>
      <c r="C655" t="s">
        <v>1260</v>
      </c>
      <c r="D655" t="s">
        <v>26</v>
      </c>
      <c r="E655">
        <v>175</v>
      </c>
      <c r="F655">
        <v>2707.4</v>
      </c>
      <c r="G655" t="s">
        <v>21</v>
      </c>
      <c r="H655" t="s">
        <v>1261</v>
      </c>
      <c r="I655" t="s">
        <v>23</v>
      </c>
      <c r="J655" s="4" t="str">
        <f t="shared" si="10"/>
        <v>TCS</v>
      </c>
    </row>
    <row r="656" spans="1:10" x14ac:dyDescent="0.35">
      <c r="A656" s="1">
        <v>46069.643472222226</v>
      </c>
      <c r="B656" t="s">
        <v>1259</v>
      </c>
      <c r="C656" t="s">
        <v>1260</v>
      </c>
      <c r="D656" t="s">
        <v>20</v>
      </c>
      <c r="E656">
        <v>175</v>
      </c>
      <c r="F656">
        <v>2730.8</v>
      </c>
      <c r="G656" t="s">
        <v>21</v>
      </c>
      <c r="H656" t="s">
        <v>1262</v>
      </c>
      <c r="I656" t="s">
        <v>23</v>
      </c>
      <c r="J656" s="4" t="str">
        <f t="shared" si="10"/>
        <v>TCS</v>
      </c>
    </row>
    <row r="657" spans="1:10" x14ac:dyDescent="0.35">
      <c r="A657" s="1">
        <v>46070.390173611115</v>
      </c>
      <c r="B657" t="s">
        <v>1263</v>
      </c>
      <c r="C657" t="s">
        <v>1264</v>
      </c>
      <c r="D657" t="s">
        <v>26</v>
      </c>
      <c r="E657">
        <v>65</v>
      </c>
      <c r="F657">
        <v>166.75</v>
      </c>
      <c r="G657" t="s">
        <v>21</v>
      </c>
      <c r="H657" t="s">
        <v>1265</v>
      </c>
      <c r="I657" t="s">
        <v>23</v>
      </c>
      <c r="J657" s="4" t="str">
        <f t="shared" si="10"/>
        <v>NIFTY</v>
      </c>
    </row>
    <row r="658" spans="1:10" x14ac:dyDescent="0.35">
      <c r="A658" s="1">
        <v>46070.399340277778</v>
      </c>
      <c r="B658" t="s">
        <v>1266</v>
      </c>
      <c r="C658" t="s">
        <v>1267</v>
      </c>
      <c r="D658" t="s">
        <v>26</v>
      </c>
      <c r="E658">
        <v>400</v>
      </c>
      <c r="F658">
        <v>1408.6</v>
      </c>
      <c r="G658" t="s">
        <v>21</v>
      </c>
      <c r="H658" t="s">
        <v>1268</v>
      </c>
      <c r="I658" t="s">
        <v>23</v>
      </c>
      <c r="J658" s="4" t="str">
        <f t="shared" si="10"/>
        <v>INFY</v>
      </c>
    </row>
    <row r="659" spans="1:10" x14ac:dyDescent="0.35">
      <c r="A659" s="1">
        <v>46070.4218287037</v>
      </c>
      <c r="B659" t="s">
        <v>1269</v>
      </c>
      <c r="C659" t="s">
        <v>1270</v>
      </c>
      <c r="D659" t="s">
        <v>26</v>
      </c>
      <c r="E659">
        <v>30</v>
      </c>
      <c r="F659">
        <v>326</v>
      </c>
      <c r="G659" t="s">
        <v>21</v>
      </c>
      <c r="H659" t="s">
        <v>1271</v>
      </c>
      <c r="I659" t="s">
        <v>23</v>
      </c>
      <c r="J659" s="4" t="str">
        <f t="shared" si="10"/>
        <v>BANKNIFTY</v>
      </c>
    </row>
    <row r="660" spans="1:10" x14ac:dyDescent="0.35">
      <c r="A660" s="1">
        <v>46070.486817129633</v>
      </c>
      <c r="B660" t="s">
        <v>1269</v>
      </c>
      <c r="C660" t="s">
        <v>1270</v>
      </c>
      <c r="D660" t="s">
        <v>20</v>
      </c>
      <c r="E660">
        <v>30</v>
      </c>
      <c r="F660">
        <v>458.55</v>
      </c>
      <c r="G660" t="s">
        <v>21</v>
      </c>
      <c r="H660" t="s">
        <v>1272</v>
      </c>
      <c r="I660" t="s">
        <v>23</v>
      </c>
      <c r="J660" s="4" t="str">
        <f t="shared" si="10"/>
        <v>BANKNIFTY</v>
      </c>
    </row>
    <row r="661" spans="1:10" x14ac:dyDescent="0.35">
      <c r="A661" s="1">
        <v>46070.487025462964</v>
      </c>
      <c r="B661" t="s">
        <v>1263</v>
      </c>
      <c r="C661" t="s">
        <v>1264</v>
      </c>
      <c r="D661" t="s">
        <v>20</v>
      </c>
      <c r="E661">
        <v>65</v>
      </c>
      <c r="F661">
        <v>248.5</v>
      </c>
      <c r="G661" t="s">
        <v>21</v>
      </c>
      <c r="H661" t="s">
        <v>1273</v>
      </c>
      <c r="I661" t="s">
        <v>23</v>
      </c>
      <c r="J661" s="4" t="str">
        <f t="shared" si="10"/>
        <v>NIFTY</v>
      </c>
    </row>
    <row r="662" spans="1:10" x14ac:dyDescent="0.35">
      <c r="A662" s="1">
        <v>46070.512199074074</v>
      </c>
      <c r="B662" t="s">
        <v>1266</v>
      </c>
      <c r="C662" t="s">
        <v>1267</v>
      </c>
      <c r="D662" t="s">
        <v>20</v>
      </c>
      <c r="E662">
        <v>400</v>
      </c>
      <c r="F662">
        <v>1434.5</v>
      </c>
      <c r="G662" t="s">
        <v>21</v>
      </c>
      <c r="H662" t="s">
        <v>1274</v>
      </c>
      <c r="I662" t="s">
        <v>23</v>
      </c>
      <c r="J662" s="4" t="str">
        <f t="shared" si="10"/>
        <v>INFY</v>
      </c>
    </row>
    <row r="663" spans="1:10" x14ac:dyDescent="0.35">
      <c r="A663" s="1">
        <v>46070.548842592594</v>
      </c>
      <c r="B663" t="s">
        <v>1275</v>
      </c>
      <c r="C663" t="s">
        <v>1276</v>
      </c>
      <c r="D663" t="s">
        <v>26</v>
      </c>
      <c r="E663">
        <v>400</v>
      </c>
      <c r="F663">
        <v>29.5</v>
      </c>
      <c r="G663" t="s">
        <v>21</v>
      </c>
      <c r="H663" t="s">
        <v>1277</v>
      </c>
      <c r="I663" t="s">
        <v>23</v>
      </c>
      <c r="J663" s="4" t="str">
        <f t="shared" si="10"/>
        <v>INFY</v>
      </c>
    </row>
    <row r="664" spans="1:10" x14ac:dyDescent="0.35">
      <c r="A664" s="1">
        <v>46070.580752314818</v>
      </c>
      <c r="B664" t="s">
        <v>1275</v>
      </c>
      <c r="C664" t="s">
        <v>1276</v>
      </c>
      <c r="D664" t="s">
        <v>20</v>
      </c>
      <c r="E664">
        <v>400</v>
      </c>
      <c r="F664">
        <v>21.4</v>
      </c>
      <c r="G664" t="s">
        <v>21</v>
      </c>
      <c r="H664" t="s">
        <v>1278</v>
      </c>
      <c r="I664" t="s">
        <v>23</v>
      </c>
      <c r="J664" s="4" t="str">
        <f t="shared" si="10"/>
        <v>INFY</v>
      </c>
    </row>
    <row r="665" spans="1:10" x14ac:dyDescent="0.35">
      <c r="A665" s="1">
        <v>46070.608969907407</v>
      </c>
      <c r="B665" t="s">
        <v>1279</v>
      </c>
      <c r="C665" t="s">
        <v>1280</v>
      </c>
      <c r="D665" t="s">
        <v>26</v>
      </c>
      <c r="E665">
        <v>65</v>
      </c>
      <c r="F665">
        <v>82.65</v>
      </c>
      <c r="G665" t="s">
        <v>21</v>
      </c>
      <c r="H665" t="s">
        <v>1281</v>
      </c>
      <c r="I665" t="s">
        <v>23</v>
      </c>
      <c r="J665" s="4" t="str">
        <f t="shared" si="10"/>
        <v>NIFTY</v>
      </c>
    </row>
    <row r="666" spans="1:10" x14ac:dyDescent="0.35">
      <c r="A666" s="1">
        <v>46070.645300925928</v>
      </c>
      <c r="B666" t="s">
        <v>1256</v>
      </c>
      <c r="C666" t="s">
        <v>1257</v>
      </c>
      <c r="D666" t="s">
        <v>20</v>
      </c>
      <c r="E666">
        <v>50</v>
      </c>
      <c r="F666">
        <v>15251</v>
      </c>
      <c r="G666" t="s">
        <v>21</v>
      </c>
      <c r="H666" t="s">
        <v>1282</v>
      </c>
      <c r="I666" t="s">
        <v>23</v>
      </c>
      <c r="J666" s="4" t="str">
        <f t="shared" si="10"/>
        <v>MARUTI</v>
      </c>
    </row>
    <row r="667" spans="1:10" x14ac:dyDescent="0.35">
      <c r="A667" s="1">
        <v>46071.397650462961</v>
      </c>
      <c r="B667" t="s">
        <v>1283</v>
      </c>
      <c r="C667" t="s">
        <v>1284</v>
      </c>
      <c r="D667" t="s">
        <v>26</v>
      </c>
      <c r="E667">
        <v>65</v>
      </c>
      <c r="F667">
        <v>25897.4</v>
      </c>
      <c r="G667" t="s">
        <v>21</v>
      </c>
      <c r="H667" t="s">
        <v>1285</v>
      </c>
      <c r="I667" t="s">
        <v>23</v>
      </c>
      <c r="J667" s="4" t="str">
        <f t="shared" si="10"/>
        <v>NIFTY</v>
      </c>
    </row>
    <row r="668" spans="1:10" x14ac:dyDescent="0.35">
      <c r="A668" s="1">
        <v>46071.645370370374</v>
      </c>
      <c r="B668" t="s">
        <v>1283</v>
      </c>
      <c r="C668" t="s">
        <v>1284</v>
      </c>
      <c r="D668" t="s">
        <v>20</v>
      </c>
      <c r="E668">
        <v>65</v>
      </c>
      <c r="F668">
        <v>25980</v>
      </c>
      <c r="G668" t="s">
        <v>21</v>
      </c>
      <c r="H668" t="s">
        <v>1286</v>
      </c>
      <c r="I668" t="s">
        <v>23</v>
      </c>
      <c r="J668" s="4" t="str">
        <f t="shared" si="10"/>
        <v>NIFTY</v>
      </c>
    </row>
    <row r="669" spans="1:10" x14ac:dyDescent="0.35">
      <c r="A669" s="1">
        <v>46071.645694444444</v>
      </c>
      <c r="B669" t="s">
        <v>1287</v>
      </c>
      <c r="C669" t="s">
        <v>1288</v>
      </c>
      <c r="D669" t="s">
        <v>26</v>
      </c>
      <c r="E669">
        <v>65</v>
      </c>
      <c r="F669">
        <v>175.75</v>
      </c>
      <c r="G669" t="s">
        <v>21</v>
      </c>
      <c r="H669" t="s">
        <v>1289</v>
      </c>
      <c r="I669" t="s">
        <v>23</v>
      </c>
      <c r="J669" s="4" t="str">
        <f t="shared" si="10"/>
        <v>NIFTY</v>
      </c>
    </row>
    <row r="670" spans="1:10" x14ac:dyDescent="0.35">
      <c r="A670" s="1">
        <v>46072.546817129631</v>
      </c>
      <c r="B670" t="s">
        <v>1290</v>
      </c>
      <c r="C670" t="s">
        <v>1291</v>
      </c>
      <c r="D670" t="s">
        <v>26</v>
      </c>
      <c r="E670">
        <v>120</v>
      </c>
      <c r="F670">
        <v>13631.45</v>
      </c>
      <c r="G670" t="s">
        <v>21</v>
      </c>
      <c r="H670" t="s">
        <v>1292</v>
      </c>
      <c r="I670" t="s">
        <v>23</v>
      </c>
      <c r="J670" s="4" t="str">
        <f t="shared" si="10"/>
        <v>MIDCPNIFTY</v>
      </c>
    </row>
    <row r="671" spans="1:10" x14ac:dyDescent="0.35">
      <c r="A671" s="1">
        <v>46076.586018518516</v>
      </c>
      <c r="B671" t="s">
        <v>1293</v>
      </c>
      <c r="C671" t="s">
        <v>1294</v>
      </c>
      <c r="D671" t="s">
        <v>26</v>
      </c>
      <c r="E671">
        <v>25</v>
      </c>
      <c r="F671">
        <v>270</v>
      </c>
      <c r="G671" t="s">
        <v>21</v>
      </c>
      <c r="H671" t="s">
        <v>1295</v>
      </c>
      <c r="I671" t="s">
        <v>23</v>
      </c>
      <c r="J671" s="4" t="str">
        <f t="shared" si="10"/>
        <v>NIFTYNXT50</v>
      </c>
    </row>
    <row r="672" spans="1:10" x14ac:dyDescent="0.35">
      <c r="A672" s="1">
        <v>46076.604189814818</v>
      </c>
      <c r="B672" t="s">
        <v>1296</v>
      </c>
      <c r="C672" t="s">
        <v>1297</v>
      </c>
      <c r="D672" t="s">
        <v>26</v>
      </c>
      <c r="E672">
        <v>65</v>
      </c>
      <c r="F672">
        <v>75.8</v>
      </c>
      <c r="G672" t="s">
        <v>21</v>
      </c>
      <c r="H672" t="s">
        <v>1298</v>
      </c>
      <c r="I672" t="s">
        <v>23</v>
      </c>
      <c r="J672" s="4" t="str">
        <f t="shared" si="10"/>
        <v>NIFTY</v>
      </c>
    </row>
    <row r="673" spans="1:10" x14ac:dyDescent="0.35">
      <c r="A673" s="1">
        <v>46076.635972222219</v>
      </c>
      <c r="B673" t="s">
        <v>1296</v>
      </c>
      <c r="C673" t="s">
        <v>1297</v>
      </c>
      <c r="D673" t="s">
        <v>20</v>
      </c>
      <c r="E673">
        <v>65</v>
      </c>
      <c r="F673">
        <v>94.05</v>
      </c>
      <c r="G673" t="s">
        <v>21</v>
      </c>
      <c r="H673" t="s">
        <v>1299</v>
      </c>
      <c r="I673" t="s">
        <v>23</v>
      </c>
      <c r="J673" s="4" t="str">
        <f t="shared" si="10"/>
        <v>NIFTY</v>
      </c>
    </row>
    <row r="674" spans="1:10" x14ac:dyDescent="0.35">
      <c r="A674" s="1">
        <v>46076.645428240743</v>
      </c>
      <c r="B674" t="s">
        <v>1293</v>
      </c>
      <c r="C674" t="s">
        <v>1294</v>
      </c>
      <c r="D674" t="s">
        <v>20</v>
      </c>
      <c r="E674">
        <v>25</v>
      </c>
      <c r="F674">
        <v>291.89999999999998</v>
      </c>
      <c r="G674" t="s">
        <v>21</v>
      </c>
      <c r="H674" t="s">
        <v>1300</v>
      </c>
      <c r="I674" t="s">
        <v>23</v>
      </c>
      <c r="J674" s="4" t="str">
        <f t="shared" si="10"/>
        <v>NIFTYNXT50</v>
      </c>
    </row>
    <row r="675" spans="1:10" x14ac:dyDescent="0.35">
      <c r="A675" s="1">
        <v>46077.405023148145</v>
      </c>
      <c r="B675" t="s">
        <v>1301</v>
      </c>
      <c r="C675" t="s">
        <v>1302</v>
      </c>
      <c r="D675" t="s">
        <v>26</v>
      </c>
      <c r="E675">
        <v>65</v>
      </c>
      <c r="F675">
        <v>210.5</v>
      </c>
      <c r="G675" t="s">
        <v>21</v>
      </c>
      <c r="H675" t="s">
        <v>1303</v>
      </c>
      <c r="I675" t="s">
        <v>23</v>
      </c>
      <c r="J675" s="4" t="str">
        <f t="shared" si="10"/>
        <v>NIFTY</v>
      </c>
    </row>
    <row r="676" spans="1:10" x14ac:dyDescent="0.35">
      <c r="A676" s="1">
        <v>46077.4065162037</v>
      </c>
      <c r="B676" t="s">
        <v>1304</v>
      </c>
      <c r="C676" t="s">
        <v>1305</v>
      </c>
      <c r="D676" t="s">
        <v>26</v>
      </c>
      <c r="E676">
        <v>25</v>
      </c>
      <c r="F676">
        <v>200</v>
      </c>
      <c r="G676" t="s">
        <v>21</v>
      </c>
      <c r="H676" t="s">
        <v>1306</v>
      </c>
      <c r="I676" t="s">
        <v>23</v>
      </c>
      <c r="J676" s="4" t="str">
        <f t="shared" si="10"/>
        <v>NIFTYNXT50</v>
      </c>
    </row>
    <row r="677" spans="1:10" x14ac:dyDescent="0.35">
      <c r="A677" s="1">
        <v>46077.458981481483</v>
      </c>
      <c r="B677" t="s">
        <v>1307</v>
      </c>
      <c r="C677" t="s">
        <v>1308</v>
      </c>
      <c r="D677" t="s">
        <v>26</v>
      </c>
      <c r="E677">
        <v>65</v>
      </c>
      <c r="F677">
        <v>224.9</v>
      </c>
      <c r="G677" t="s">
        <v>21</v>
      </c>
      <c r="H677" t="s">
        <v>1309</v>
      </c>
      <c r="I677" t="s">
        <v>23</v>
      </c>
      <c r="J677" s="4" t="str">
        <f t="shared" si="10"/>
        <v>NIFTY</v>
      </c>
    </row>
    <row r="678" spans="1:10" x14ac:dyDescent="0.35">
      <c r="A678" s="1">
        <v>46077.509513888886</v>
      </c>
      <c r="B678" t="s">
        <v>1310</v>
      </c>
      <c r="C678" t="s">
        <v>1311</v>
      </c>
      <c r="D678" t="s">
        <v>26</v>
      </c>
      <c r="E678">
        <v>30</v>
      </c>
      <c r="F678">
        <v>139.55000000000001</v>
      </c>
      <c r="G678" t="s">
        <v>21</v>
      </c>
      <c r="H678" t="s">
        <v>1312</v>
      </c>
      <c r="I678" t="s">
        <v>23</v>
      </c>
      <c r="J678" s="4" t="str">
        <f t="shared" si="10"/>
        <v>BANKNIFTY</v>
      </c>
    </row>
    <row r="679" spans="1:10" x14ac:dyDescent="0.35">
      <c r="A679" s="1">
        <v>46077.544224537036</v>
      </c>
      <c r="B679" t="s">
        <v>1313</v>
      </c>
      <c r="C679" t="s">
        <v>1314</v>
      </c>
      <c r="D679" t="s">
        <v>26</v>
      </c>
      <c r="E679">
        <v>20</v>
      </c>
      <c r="F679">
        <v>424.1</v>
      </c>
      <c r="G679" t="s">
        <v>32</v>
      </c>
      <c r="H679" t="s">
        <v>1315</v>
      </c>
      <c r="I679" t="s">
        <v>23</v>
      </c>
      <c r="J679" s="4" t="str">
        <f t="shared" si="10"/>
        <v>SENSEX</v>
      </c>
    </row>
    <row r="680" spans="1:10" x14ac:dyDescent="0.35">
      <c r="A680" s="1">
        <v>46077.635092592594</v>
      </c>
      <c r="B680" t="s">
        <v>1304</v>
      </c>
      <c r="C680" t="s">
        <v>1305</v>
      </c>
      <c r="D680" t="s">
        <v>20</v>
      </c>
      <c r="E680">
        <v>25</v>
      </c>
      <c r="F680">
        <v>272</v>
      </c>
      <c r="G680" t="s">
        <v>21</v>
      </c>
      <c r="H680" t="s">
        <v>1316</v>
      </c>
      <c r="I680" t="s">
        <v>23</v>
      </c>
      <c r="J680" s="4" t="str">
        <f t="shared" si="10"/>
        <v>NIFTYNXT50</v>
      </c>
    </row>
    <row r="681" spans="1:10" x14ac:dyDescent="0.35">
      <c r="A681" s="1">
        <v>46077.639386574076</v>
      </c>
      <c r="B681" t="s">
        <v>1287</v>
      </c>
      <c r="C681" t="s">
        <v>1288</v>
      </c>
      <c r="D681" t="s">
        <v>20</v>
      </c>
      <c r="E681">
        <v>65</v>
      </c>
      <c r="F681">
        <v>0.1</v>
      </c>
      <c r="G681" t="s">
        <v>21</v>
      </c>
      <c r="H681" t="s">
        <v>1317</v>
      </c>
      <c r="I681" t="s">
        <v>23</v>
      </c>
      <c r="J681" s="4" t="str">
        <f t="shared" si="10"/>
        <v>NIFTY</v>
      </c>
    </row>
    <row r="682" spans="1:10" x14ac:dyDescent="0.35">
      <c r="A682" s="1">
        <v>46077.64503472222</v>
      </c>
      <c r="B682" t="s">
        <v>1313</v>
      </c>
      <c r="C682" t="s">
        <v>1314</v>
      </c>
      <c r="D682" t="s">
        <v>20</v>
      </c>
      <c r="E682">
        <v>20</v>
      </c>
      <c r="F682">
        <v>416.05</v>
      </c>
      <c r="G682" t="s">
        <v>32</v>
      </c>
      <c r="H682" t="s">
        <v>1318</v>
      </c>
      <c r="I682" t="s">
        <v>23</v>
      </c>
      <c r="J682" s="4" t="str">
        <f t="shared" si="10"/>
        <v>SENSEX</v>
      </c>
    </row>
    <row r="683" spans="1:10" x14ac:dyDescent="0.35">
      <c r="A683" s="1">
        <v>46078.421990740739</v>
      </c>
      <c r="B683" t="s">
        <v>1307</v>
      </c>
      <c r="C683" t="s">
        <v>1308</v>
      </c>
      <c r="D683" t="s">
        <v>20</v>
      </c>
      <c r="E683">
        <v>65</v>
      </c>
      <c r="F683">
        <v>276.2</v>
      </c>
      <c r="G683" t="s">
        <v>21</v>
      </c>
      <c r="H683" t="s">
        <v>1319</v>
      </c>
      <c r="I683" t="s">
        <v>23</v>
      </c>
      <c r="J683" s="4" t="str">
        <f t="shared" si="10"/>
        <v>NIFTY</v>
      </c>
    </row>
    <row r="684" spans="1:10" x14ac:dyDescent="0.35">
      <c r="A684" s="1">
        <v>46078.427418981482</v>
      </c>
      <c r="B684" t="s">
        <v>1301</v>
      </c>
      <c r="C684" t="s">
        <v>1302</v>
      </c>
      <c r="D684" t="s">
        <v>20</v>
      </c>
      <c r="E684">
        <v>65</v>
      </c>
      <c r="F684">
        <v>246.65</v>
      </c>
      <c r="G684" t="s">
        <v>21</v>
      </c>
      <c r="H684" t="s">
        <v>1320</v>
      </c>
      <c r="I684" t="s">
        <v>23</v>
      </c>
      <c r="J684" s="4" t="str">
        <f t="shared" si="10"/>
        <v>NIFTY</v>
      </c>
    </row>
    <row r="685" spans="1:10" x14ac:dyDescent="0.35">
      <c r="A685" s="1">
        <v>46078.54787037037</v>
      </c>
      <c r="B685" t="s">
        <v>1321</v>
      </c>
      <c r="C685" t="s">
        <v>1322</v>
      </c>
      <c r="D685" t="s">
        <v>26</v>
      </c>
      <c r="E685">
        <v>20</v>
      </c>
      <c r="F685">
        <v>338.35</v>
      </c>
      <c r="G685" t="s">
        <v>32</v>
      </c>
      <c r="H685" t="s">
        <v>1323</v>
      </c>
      <c r="I685" t="s">
        <v>23</v>
      </c>
      <c r="J685" s="4" t="str">
        <f t="shared" si="10"/>
        <v>SENSEX</v>
      </c>
    </row>
    <row r="686" spans="1:10" x14ac:dyDescent="0.35">
      <c r="A686" s="1">
        <v>46079.558368055557</v>
      </c>
      <c r="B686" t="s">
        <v>1324</v>
      </c>
      <c r="C686" t="s">
        <v>1325</v>
      </c>
      <c r="D686" t="s">
        <v>26</v>
      </c>
      <c r="E686">
        <v>30</v>
      </c>
      <c r="F686">
        <v>978.15</v>
      </c>
      <c r="G686" t="s">
        <v>21</v>
      </c>
      <c r="H686" t="s">
        <v>1326</v>
      </c>
      <c r="I686" t="s">
        <v>23</v>
      </c>
      <c r="J686" s="4" t="str">
        <f t="shared" si="10"/>
        <v>BANKNIFTY</v>
      </c>
    </row>
    <row r="687" spans="1:10" x14ac:dyDescent="0.35">
      <c r="A687" s="1">
        <v>46079.589687500003</v>
      </c>
      <c r="B687" t="s">
        <v>1327</v>
      </c>
      <c r="C687" t="s">
        <v>1328</v>
      </c>
      <c r="D687" t="s">
        <v>26</v>
      </c>
      <c r="E687">
        <v>65</v>
      </c>
      <c r="F687">
        <v>147.85</v>
      </c>
      <c r="G687" t="s">
        <v>21</v>
      </c>
      <c r="H687" t="s">
        <v>1329</v>
      </c>
      <c r="I687" t="s">
        <v>23</v>
      </c>
      <c r="J687" s="4" t="str">
        <f t="shared" si="10"/>
        <v>NIFTY</v>
      </c>
    </row>
    <row r="688" spans="1:10" x14ac:dyDescent="0.35">
      <c r="A688" s="1">
        <v>46079.616423611114</v>
      </c>
      <c r="B688" t="s">
        <v>1327</v>
      </c>
      <c r="C688" t="s">
        <v>1328</v>
      </c>
      <c r="D688" t="s">
        <v>20</v>
      </c>
      <c r="E688">
        <v>65</v>
      </c>
      <c r="F688">
        <v>196.9</v>
      </c>
      <c r="G688" t="s">
        <v>21</v>
      </c>
      <c r="H688" t="s">
        <v>1330</v>
      </c>
      <c r="I688" t="s">
        <v>23</v>
      </c>
      <c r="J688" s="4" t="str">
        <f t="shared" si="10"/>
        <v>NIFTY</v>
      </c>
    </row>
    <row r="689" spans="1:10" x14ac:dyDescent="0.35">
      <c r="A689" s="1">
        <v>46079.621307870373</v>
      </c>
      <c r="B689" t="s">
        <v>1324</v>
      </c>
      <c r="C689" t="s">
        <v>1325</v>
      </c>
      <c r="D689" t="s">
        <v>20</v>
      </c>
      <c r="E689">
        <v>30</v>
      </c>
      <c r="F689">
        <v>1082.7</v>
      </c>
      <c r="G689" t="s">
        <v>21</v>
      </c>
      <c r="H689" t="s">
        <v>1331</v>
      </c>
      <c r="I689" t="s">
        <v>23</v>
      </c>
      <c r="J689" s="4" t="str">
        <f t="shared" si="10"/>
        <v>BANKNIFTY</v>
      </c>
    </row>
    <row r="690" spans="1:10" x14ac:dyDescent="0.35">
      <c r="A690" s="1">
        <v>46079.629513888889</v>
      </c>
      <c r="B690" t="s">
        <v>1290</v>
      </c>
      <c r="C690" t="s">
        <v>1291</v>
      </c>
      <c r="D690" t="s">
        <v>20</v>
      </c>
      <c r="E690">
        <v>120</v>
      </c>
      <c r="F690">
        <v>13722.05</v>
      </c>
      <c r="G690" t="s">
        <v>21</v>
      </c>
      <c r="H690" t="s">
        <v>1332</v>
      </c>
      <c r="I690" t="s">
        <v>23</v>
      </c>
      <c r="J690" s="4" t="str">
        <f t="shared" si="10"/>
        <v>MIDCPNIFTY</v>
      </c>
    </row>
    <row r="691" spans="1:10" x14ac:dyDescent="0.35">
      <c r="A691" s="1">
        <v>46079.633680555555</v>
      </c>
      <c r="B691" t="s">
        <v>1333</v>
      </c>
      <c r="C691" t="s">
        <v>1334</v>
      </c>
      <c r="D691" t="s">
        <v>26</v>
      </c>
      <c r="E691">
        <v>20</v>
      </c>
      <c r="F691">
        <v>618.9</v>
      </c>
      <c r="G691" t="s">
        <v>32</v>
      </c>
      <c r="H691" t="s">
        <v>1335</v>
      </c>
      <c r="I691" t="s">
        <v>23</v>
      </c>
      <c r="J691" s="4" t="str">
        <f t="shared" si="10"/>
        <v>SENSEX</v>
      </c>
    </row>
    <row r="692" spans="1:10" x14ac:dyDescent="0.35">
      <c r="A692" s="1">
        <v>46079.645162037035</v>
      </c>
      <c r="B692" t="s">
        <v>1321</v>
      </c>
      <c r="C692" t="s">
        <v>1322</v>
      </c>
      <c r="D692" t="s">
        <v>20</v>
      </c>
      <c r="E692">
        <v>20</v>
      </c>
      <c r="F692">
        <v>48.8</v>
      </c>
      <c r="G692" t="s">
        <v>32</v>
      </c>
      <c r="H692" t="s">
        <v>1336</v>
      </c>
      <c r="I692" t="s">
        <v>23</v>
      </c>
      <c r="J692" s="4" t="str">
        <f t="shared" si="10"/>
        <v>SENSEX</v>
      </c>
    </row>
    <row r="693" spans="1:10" x14ac:dyDescent="0.35">
      <c r="A693" s="1">
        <v>46080.409953703704</v>
      </c>
      <c r="B693" t="s">
        <v>1333</v>
      </c>
      <c r="C693" t="s">
        <v>1334</v>
      </c>
      <c r="D693" t="s">
        <v>20</v>
      </c>
      <c r="E693">
        <v>20</v>
      </c>
      <c r="F693">
        <v>388.8</v>
      </c>
      <c r="G693" t="s">
        <v>32</v>
      </c>
      <c r="H693" t="s">
        <v>1337</v>
      </c>
      <c r="I693" t="s">
        <v>23</v>
      </c>
      <c r="J693" s="4" t="str">
        <f t="shared" si="10"/>
        <v>SENSEX</v>
      </c>
    </row>
    <row r="694" spans="1:10" x14ac:dyDescent="0.35">
      <c r="A694" s="1">
        <v>46080.411678240744</v>
      </c>
      <c r="B694" t="s">
        <v>1338</v>
      </c>
      <c r="C694" t="s">
        <v>1339</v>
      </c>
      <c r="D694" t="s">
        <v>26</v>
      </c>
      <c r="E694">
        <v>30</v>
      </c>
      <c r="F694">
        <v>606</v>
      </c>
      <c r="G694" t="s">
        <v>21</v>
      </c>
      <c r="H694" t="s">
        <v>1340</v>
      </c>
      <c r="I694" t="s">
        <v>23</v>
      </c>
      <c r="J694" s="4" t="str">
        <f t="shared" si="10"/>
        <v>BANKNIFTY</v>
      </c>
    </row>
    <row r="695" spans="1:10" x14ac:dyDescent="0.35">
      <c r="A695" s="1">
        <v>46080.642974537041</v>
      </c>
      <c r="B695" t="s">
        <v>1338</v>
      </c>
      <c r="C695" t="s">
        <v>1339</v>
      </c>
      <c r="D695" t="s">
        <v>20</v>
      </c>
      <c r="E695">
        <v>30</v>
      </c>
      <c r="F695">
        <v>677.25</v>
      </c>
      <c r="G695" t="s">
        <v>21</v>
      </c>
      <c r="H695" t="s">
        <v>1341</v>
      </c>
      <c r="I695" t="s">
        <v>23</v>
      </c>
      <c r="J695" s="4" t="str">
        <f t="shared" si="10"/>
        <v>BANKNIFTY</v>
      </c>
    </row>
    <row r="696" spans="1:10" x14ac:dyDescent="0.35">
      <c r="A696" s="1">
        <v>46083.404872685183</v>
      </c>
      <c r="B696" t="s">
        <v>1342</v>
      </c>
      <c r="C696" t="s">
        <v>1343</v>
      </c>
      <c r="D696" t="s">
        <v>26</v>
      </c>
      <c r="E696">
        <v>2250</v>
      </c>
      <c r="F696">
        <v>9.6999999999999993</v>
      </c>
      <c r="G696" t="s">
        <v>21</v>
      </c>
      <c r="H696" t="s">
        <v>1344</v>
      </c>
      <c r="I696" t="s">
        <v>23</v>
      </c>
      <c r="J696" s="4" t="str">
        <f t="shared" si="10"/>
        <v>ONGC</v>
      </c>
    </row>
    <row r="697" spans="1:10" x14ac:dyDescent="0.35">
      <c r="A697" s="1">
        <v>46083.495717592596</v>
      </c>
      <c r="B697" t="s">
        <v>1342</v>
      </c>
      <c r="C697" t="s">
        <v>1343</v>
      </c>
      <c r="D697" t="s">
        <v>20</v>
      </c>
      <c r="E697">
        <v>2250</v>
      </c>
      <c r="F697">
        <v>9.8000000000000007</v>
      </c>
      <c r="G697" t="s">
        <v>21</v>
      </c>
      <c r="H697" t="s">
        <v>1345</v>
      </c>
      <c r="I697" t="s">
        <v>23</v>
      </c>
      <c r="J697" s="4" t="str">
        <f t="shared" si="10"/>
        <v>ONGC</v>
      </c>
    </row>
    <row r="698" spans="1:10" x14ac:dyDescent="0.35">
      <c r="A698" s="1">
        <v>46083.515717592592</v>
      </c>
      <c r="B698" t="s">
        <v>1346</v>
      </c>
      <c r="C698" t="s">
        <v>1347</v>
      </c>
      <c r="D698" t="s">
        <v>26</v>
      </c>
      <c r="E698">
        <v>2250</v>
      </c>
      <c r="F698">
        <v>10.55</v>
      </c>
      <c r="G698" t="s">
        <v>21</v>
      </c>
      <c r="H698" t="s">
        <v>1348</v>
      </c>
      <c r="I698" t="s">
        <v>23</v>
      </c>
      <c r="J698" s="4" t="str">
        <f t="shared" si="10"/>
        <v>ONGC</v>
      </c>
    </row>
    <row r="699" spans="1:10" x14ac:dyDescent="0.35">
      <c r="A699" s="1">
        <v>46083.622800925928</v>
      </c>
      <c r="B699" t="s">
        <v>1346</v>
      </c>
      <c r="C699" t="s">
        <v>1347</v>
      </c>
      <c r="D699" t="s">
        <v>20</v>
      </c>
      <c r="E699">
        <v>2250</v>
      </c>
      <c r="F699">
        <v>11.75</v>
      </c>
      <c r="G699" t="s">
        <v>21</v>
      </c>
      <c r="H699" t="s">
        <v>1349</v>
      </c>
      <c r="I699" t="s">
        <v>23</v>
      </c>
      <c r="J699" s="4" t="str">
        <f t="shared" si="10"/>
        <v>ONGC</v>
      </c>
    </row>
    <row r="700" spans="1:10" x14ac:dyDescent="0.35">
      <c r="A700" s="1">
        <v>46085.407754629632</v>
      </c>
      <c r="B700" t="s">
        <v>1350</v>
      </c>
      <c r="C700" t="s">
        <v>1351</v>
      </c>
      <c r="D700" t="s">
        <v>26</v>
      </c>
      <c r="E700">
        <v>25</v>
      </c>
      <c r="F700">
        <v>67200</v>
      </c>
      <c r="G700" t="s">
        <v>21</v>
      </c>
      <c r="H700" t="s">
        <v>1352</v>
      </c>
      <c r="I700" t="s">
        <v>23</v>
      </c>
      <c r="J700" s="4" t="str">
        <f t="shared" si="10"/>
        <v>NIFTYNXT50</v>
      </c>
    </row>
    <row r="701" spans="1:10" x14ac:dyDescent="0.35">
      <c r="A701" s="1">
        <v>46085.446122685185</v>
      </c>
      <c r="B701" t="s">
        <v>1353</v>
      </c>
      <c r="C701" t="s">
        <v>1354</v>
      </c>
      <c r="D701" t="s">
        <v>26</v>
      </c>
      <c r="E701">
        <v>3750</v>
      </c>
      <c r="F701">
        <v>17.3</v>
      </c>
      <c r="G701" t="s">
        <v>21</v>
      </c>
      <c r="H701" t="s">
        <v>1355</v>
      </c>
      <c r="I701" t="s">
        <v>23</v>
      </c>
      <c r="J701" s="4" t="str">
        <f t="shared" si="10"/>
        <v>NATIONALUM</v>
      </c>
    </row>
    <row r="702" spans="1:10" x14ac:dyDescent="0.35">
      <c r="A702" s="1">
        <v>46085.556331018517</v>
      </c>
      <c r="B702" t="s">
        <v>1353</v>
      </c>
      <c r="C702" t="s">
        <v>1354</v>
      </c>
      <c r="D702" t="s">
        <v>20</v>
      </c>
      <c r="E702">
        <v>3750</v>
      </c>
      <c r="F702">
        <v>20.05</v>
      </c>
      <c r="G702" t="s">
        <v>21</v>
      </c>
      <c r="H702" t="s">
        <v>1356</v>
      </c>
      <c r="I702" t="s">
        <v>23</v>
      </c>
      <c r="J702" s="4" t="str">
        <f t="shared" si="10"/>
        <v>NATIONALUM</v>
      </c>
    </row>
    <row r="703" spans="1:10" x14ac:dyDescent="0.35">
      <c r="A703" s="1">
        <v>46085.575960648152</v>
      </c>
      <c r="B703" t="s">
        <v>1357</v>
      </c>
      <c r="C703" t="s">
        <v>1358</v>
      </c>
      <c r="D703" t="s">
        <v>26</v>
      </c>
      <c r="E703">
        <v>1400</v>
      </c>
      <c r="F703">
        <v>22.35</v>
      </c>
      <c r="G703" t="s">
        <v>21</v>
      </c>
      <c r="H703" t="s">
        <v>1359</v>
      </c>
      <c r="I703" t="s">
        <v>23</v>
      </c>
      <c r="J703" s="4" t="str">
        <f t="shared" si="10"/>
        <v>OIL</v>
      </c>
    </row>
    <row r="704" spans="1:10" x14ac:dyDescent="0.35">
      <c r="A704" s="1">
        <v>46086.415046296293</v>
      </c>
      <c r="B704" t="s">
        <v>1350</v>
      </c>
      <c r="C704" t="s">
        <v>1351</v>
      </c>
      <c r="D704" t="s">
        <v>20</v>
      </c>
      <c r="E704">
        <v>25</v>
      </c>
      <c r="F704">
        <v>67410</v>
      </c>
      <c r="G704" t="s">
        <v>21</v>
      </c>
      <c r="H704" t="s">
        <v>1360</v>
      </c>
      <c r="I704" t="s">
        <v>23</v>
      </c>
      <c r="J704" s="4" t="str">
        <f t="shared" si="10"/>
        <v>NIFTYNXT50</v>
      </c>
    </row>
    <row r="705" spans="1:10" x14ac:dyDescent="0.35">
      <c r="A705" s="1">
        <v>46086.42559027778</v>
      </c>
      <c r="B705" t="s">
        <v>1357</v>
      </c>
      <c r="C705" t="s">
        <v>1358</v>
      </c>
      <c r="D705" t="s">
        <v>20</v>
      </c>
      <c r="E705">
        <v>1400</v>
      </c>
      <c r="F705">
        <v>24.6</v>
      </c>
      <c r="G705" t="s">
        <v>21</v>
      </c>
      <c r="H705" t="s">
        <v>1361</v>
      </c>
      <c r="I705" t="s">
        <v>23</v>
      </c>
      <c r="J705" s="4" t="str">
        <f t="shared" si="10"/>
        <v>OIL</v>
      </c>
    </row>
    <row r="706" spans="1:10" x14ac:dyDescent="0.35">
      <c r="A706" s="1">
        <v>46086.454837962963</v>
      </c>
      <c r="B706" t="s">
        <v>1362</v>
      </c>
      <c r="C706" t="s">
        <v>1363</v>
      </c>
      <c r="D706" t="s">
        <v>26</v>
      </c>
      <c r="E706">
        <v>20</v>
      </c>
      <c r="F706">
        <v>257.8</v>
      </c>
      <c r="G706" t="s">
        <v>32</v>
      </c>
      <c r="H706" t="s">
        <v>1364</v>
      </c>
      <c r="I706" t="s">
        <v>23</v>
      </c>
      <c r="J706" s="4" t="str">
        <f t="shared" si="10"/>
        <v>SENSEX</v>
      </c>
    </row>
    <row r="707" spans="1:10" x14ac:dyDescent="0.35">
      <c r="A707" s="1">
        <v>46086.479699074072</v>
      </c>
      <c r="B707" t="s">
        <v>1365</v>
      </c>
      <c r="C707" t="s">
        <v>1366</v>
      </c>
      <c r="D707" t="s">
        <v>26</v>
      </c>
      <c r="E707">
        <v>65</v>
      </c>
      <c r="F707">
        <v>236.25</v>
      </c>
      <c r="G707" t="s">
        <v>21</v>
      </c>
      <c r="H707" t="s">
        <v>1367</v>
      </c>
      <c r="I707" t="s">
        <v>23</v>
      </c>
      <c r="J707" s="4" t="str">
        <f t="shared" si="10"/>
        <v>NIFTY</v>
      </c>
    </row>
    <row r="708" spans="1:10" x14ac:dyDescent="0.35">
      <c r="A708" s="1">
        <v>46086.484791666669</v>
      </c>
      <c r="B708" t="s">
        <v>1365</v>
      </c>
      <c r="C708" t="s">
        <v>1366</v>
      </c>
      <c r="D708" t="s">
        <v>26</v>
      </c>
      <c r="E708">
        <v>65</v>
      </c>
      <c r="F708">
        <v>226.85</v>
      </c>
      <c r="G708" t="s">
        <v>21</v>
      </c>
      <c r="H708" t="s">
        <v>1368</v>
      </c>
      <c r="I708" t="s">
        <v>23</v>
      </c>
      <c r="J708" s="4" t="str">
        <f t="shared" si="10"/>
        <v>NIFTY</v>
      </c>
    </row>
    <row r="709" spans="1:10" x14ac:dyDescent="0.35">
      <c r="A709" s="1">
        <v>46086.485775462963</v>
      </c>
      <c r="B709" t="s">
        <v>1362</v>
      </c>
      <c r="C709" t="s">
        <v>1363</v>
      </c>
      <c r="D709" t="s">
        <v>26</v>
      </c>
      <c r="E709">
        <v>20</v>
      </c>
      <c r="F709">
        <v>159.9</v>
      </c>
      <c r="G709" t="s">
        <v>32</v>
      </c>
      <c r="H709" t="s">
        <v>1369</v>
      </c>
      <c r="I709" t="s">
        <v>23</v>
      </c>
      <c r="J709" s="4" t="str">
        <f t="shared" si="10"/>
        <v>SENSEX</v>
      </c>
    </row>
    <row r="710" spans="1:10" x14ac:dyDescent="0.35">
      <c r="A710" s="1">
        <v>46086.488622685189</v>
      </c>
      <c r="B710" t="s">
        <v>1370</v>
      </c>
      <c r="C710" t="s">
        <v>1371</v>
      </c>
      <c r="D710" t="s">
        <v>26</v>
      </c>
      <c r="E710">
        <v>3175</v>
      </c>
      <c r="F710">
        <v>11.85</v>
      </c>
      <c r="G710" t="s">
        <v>21</v>
      </c>
      <c r="H710" t="s">
        <v>1372</v>
      </c>
      <c r="I710" t="s">
        <v>23</v>
      </c>
      <c r="J710" s="4" t="str">
        <f t="shared" si="10"/>
        <v>RBLBANK</v>
      </c>
    </row>
    <row r="711" spans="1:10" x14ac:dyDescent="0.35">
      <c r="A711" s="1">
        <v>46086.49523148148</v>
      </c>
      <c r="B711" t="s">
        <v>1373</v>
      </c>
      <c r="C711" t="s">
        <v>1374</v>
      </c>
      <c r="D711" t="s">
        <v>26</v>
      </c>
      <c r="E711">
        <v>30</v>
      </c>
      <c r="F711">
        <v>1249.3</v>
      </c>
      <c r="G711" t="s">
        <v>21</v>
      </c>
      <c r="H711" t="s">
        <v>1375</v>
      </c>
      <c r="I711" t="s">
        <v>23</v>
      </c>
      <c r="J711" s="4" t="str">
        <f t="shared" si="10"/>
        <v>BANKNIFTY</v>
      </c>
    </row>
    <row r="712" spans="1:10" x14ac:dyDescent="0.35">
      <c r="A712" s="1">
        <v>46086.521932870368</v>
      </c>
      <c r="B712" t="s">
        <v>1373</v>
      </c>
      <c r="C712" t="s">
        <v>1374</v>
      </c>
      <c r="D712" t="s">
        <v>20</v>
      </c>
      <c r="E712">
        <v>30</v>
      </c>
      <c r="F712">
        <v>1297.9000000000001</v>
      </c>
      <c r="G712" t="s">
        <v>21</v>
      </c>
      <c r="H712" t="s">
        <v>1376</v>
      </c>
      <c r="I712" t="s">
        <v>23</v>
      </c>
      <c r="J712" s="4" t="str">
        <f t="shared" si="10"/>
        <v>BANKNIFTY</v>
      </c>
    </row>
    <row r="713" spans="1:10" x14ac:dyDescent="0.35">
      <c r="A713" s="1">
        <v>46086.612303240741</v>
      </c>
      <c r="B713" t="s">
        <v>1365</v>
      </c>
      <c r="C713" t="s">
        <v>1366</v>
      </c>
      <c r="D713" t="s">
        <v>20</v>
      </c>
      <c r="E713">
        <v>130</v>
      </c>
      <c r="F713">
        <v>298.95</v>
      </c>
      <c r="G713" t="s">
        <v>21</v>
      </c>
      <c r="H713" t="s">
        <v>1377</v>
      </c>
      <c r="I713" t="s">
        <v>23</v>
      </c>
      <c r="J713" s="4" t="str">
        <f t="shared" ref="J713:J750" si="11">LEFT(B713,FIND(" ",B713)-1)</f>
        <v>NIFTY</v>
      </c>
    </row>
    <row r="714" spans="1:10" x14ac:dyDescent="0.35">
      <c r="A714" s="1">
        <v>46086.612754629627</v>
      </c>
      <c r="B714" t="s">
        <v>1362</v>
      </c>
      <c r="C714" t="s">
        <v>1363</v>
      </c>
      <c r="D714" t="s">
        <v>20</v>
      </c>
      <c r="E714">
        <v>40</v>
      </c>
      <c r="F714">
        <v>395.1</v>
      </c>
      <c r="G714" t="s">
        <v>32</v>
      </c>
      <c r="H714" t="s">
        <v>1378</v>
      </c>
      <c r="I714" t="s">
        <v>23</v>
      </c>
      <c r="J714" s="4" t="str">
        <f t="shared" si="11"/>
        <v>SENSEX</v>
      </c>
    </row>
    <row r="715" spans="1:10" x14ac:dyDescent="0.35">
      <c r="A715" s="1">
        <v>46087.388009259259</v>
      </c>
      <c r="B715" t="s">
        <v>1379</v>
      </c>
      <c r="C715" t="s">
        <v>1380</v>
      </c>
      <c r="D715" t="s">
        <v>26</v>
      </c>
      <c r="E715">
        <v>3750</v>
      </c>
      <c r="F715">
        <v>12.1</v>
      </c>
      <c r="G715" t="s">
        <v>21</v>
      </c>
      <c r="H715" t="s">
        <v>1381</v>
      </c>
      <c r="I715" t="s">
        <v>23</v>
      </c>
      <c r="J715" s="4" t="str">
        <f t="shared" si="11"/>
        <v>NATIONALUM</v>
      </c>
    </row>
    <row r="716" spans="1:10" x14ac:dyDescent="0.35">
      <c r="A716" s="1">
        <v>46087.409039351849</v>
      </c>
      <c r="B716" t="s">
        <v>1382</v>
      </c>
      <c r="C716" t="s">
        <v>1383</v>
      </c>
      <c r="D716" t="s">
        <v>26</v>
      </c>
      <c r="E716">
        <v>1425</v>
      </c>
      <c r="F716">
        <v>16.95</v>
      </c>
      <c r="G716" t="s">
        <v>21</v>
      </c>
      <c r="H716" t="s">
        <v>1384</v>
      </c>
      <c r="I716" t="s">
        <v>23</v>
      </c>
      <c r="J716" s="4" t="str">
        <f t="shared" si="11"/>
        <v>BEL</v>
      </c>
    </row>
    <row r="717" spans="1:10" x14ac:dyDescent="0.35">
      <c r="A717" s="1">
        <v>46087.409988425927</v>
      </c>
      <c r="B717" t="s">
        <v>1385</v>
      </c>
      <c r="C717" t="s">
        <v>1386</v>
      </c>
      <c r="D717" t="s">
        <v>20</v>
      </c>
      <c r="E717">
        <v>1425</v>
      </c>
      <c r="F717">
        <v>6.2</v>
      </c>
      <c r="G717" t="s">
        <v>21</v>
      </c>
      <c r="H717" t="s">
        <v>1387</v>
      </c>
      <c r="I717" t="s">
        <v>23</v>
      </c>
      <c r="J717" s="4" t="str">
        <f t="shared" si="11"/>
        <v>BEL</v>
      </c>
    </row>
    <row r="718" spans="1:10" x14ac:dyDescent="0.35">
      <c r="A718" s="1">
        <v>46087.422175925924</v>
      </c>
      <c r="B718" t="s">
        <v>1385</v>
      </c>
      <c r="C718" t="s">
        <v>1386</v>
      </c>
      <c r="D718" t="s">
        <v>26</v>
      </c>
      <c r="E718">
        <v>1425</v>
      </c>
      <c r="F718">
        <v>6.1</v>
      </c>
      <c r="G718" t="s">
        <v>21</v>
      </c>
      <c r="H718" t="s">
        <v>1388</v>
      </c>
      <c r="I718" t="s">
        <v>23</v>
      </c>
      <c r="J718" s="4" t="str">
        <f t="shared" si="11"/>
        <v>BEL</v>
      </c>
    </row>
    <row r="719" spans="1:10" x14ac:dyDescent="0.35">
      <c r="A719" s="1">
        <v>46087.443449074075</v>
      </c>
      <c r="B719" t="s">
        <v>1389</v>
      </c>
      <c r="C719" t="s">
        <v>1390</v>
      </c>
      <c r="D719" t="s">
        <v>26</v>
      </c>
      <c r="E719">
        <v>325</v>
      </c>
      <c r="F719">
        <v>1942.9</v>
      </c>
      <c r="G719" t="s">
        <v>21</v>
      </c>
      <c r="H719" t="s">
        <v>1391</v>
      </c>
      <c r="I719" t="s">
        <v>23</v>
      </c>
      <c r="J719" s="4" t="str">
        <f t="shared" si="11"/>
        <v>BLUESTARCO</v>
      </c>
    </row>
    <row r="720" spans="1:10" x14ac:dyDescent="0.35">
      <c r="A720" s="1">
        <v>46087.452361111114</v>
      </c>
      <c r="B720" t="s">
        <v>1365</v>
      </c>
      <c r="C720" t="s">
        <v>1366</v>
      </c>
      <c r="D720" t="s">
        <v>26</v>
      </c>
      <c r="E720">
        <v>65</v>
      </c>
      <c r="F720">
        <v>213.05</v>
      </c>
      <c r="G720" t="s">
        <v>21</v>
      </c>
      <c r="H720" t="s">
        <v>1392</v>
      </c>
      <c r="I720" t="s">
        <v>23</v>
      </c>
      <c r="J720" s="4" t="str">
        <f t="shared" si="11"/>
        <v>NIFTY</v>
      </c>
    </row>
    <row r="721" spans="1:10" x14ac:dyDescent="0.35">
      <c r="A721" s="1">
        <v>46087.473009259258</v>
      </c>
      <c r="B721" t="s">
        <v>1393</v>
      </c>
      <c r="C721" t="s">
        <v>1394</v>
      </c>
      <c r="D721" t="s">
        <v>26</v>
      </c>
      <c r="E721">
        <v>120</v>
      </c>
      <c r="F721">
        <v>337.5</v>
      </c>
      <c r="G721" t="s">
        <v>21</v>
      </c>
      <c r="H721" t="s">
        <v>1395</v>
      </c>
      <c r="I721" t="s">
        <v>23</v>
      </c>
      <c r="J721" s="4" t="str">
        <f t="shared" si="11"/>
        <v>MIDCPNIFTY</v>
      </c>
    </row>
    <row r="722" spans="1:10" x14ac:dyDescent="0.35">
      <c r="A722" s="1">
        <v>46087.531064814815</v>
      </c>
      <c r="B722" t="s">
        <v>1396</v>
      </c>
      <c r="C722" t="s">
        <v>1397</v>
      </c>
      <c r="D722" t="s">
        <v>26</v>
      </c>
      <c r="E722">
        <v>825</v>
      </c>
      <c r="F722">
        <v>36.049999999999997</v>
      </c>
      <c r="G722" t="s">
        <v>21</v>
      </c>
      <c r="H722" t="s">
        <v>1398</v>
      </c>
      <c r="I722" t="s">
        <v>23</v>
      </c>
      <c r="J722" s="4" t="str">
        <f t="shared" si="11"/>
        <v>SHRIRAMFIN</v>
      </c>
    </row>
    <row r="723" spans="1:10" x14ac:dyDescent="0.35">
      <c r="A723" s="1">
        <v>46087.537118055552</v>
      </c>
      <c r="B723" t="s">
        <v>1393</v>
      </c>
      <c r="C723" t="s">
        <v>1394</v>
      </c>
      <c r="D723" t="s">
        <v>20</v>
      </c>
      <c r="E723">
        <v>120</v>
      </c>
      <c r="F723">
        <v>346.8</v>
      </c>
      <c r="G723" t="s">
        <v>21</v>
      </c>
      <c r="H723" t="s">
        <v>1399</v>
      </c>
      <c r="I723" t="s">
        <v>23</v>
      </c>
      <c r="J723" s="4" t="str">
        <f t="shared" si="11"/>
        <v>MIDCPNIFTY</v>
      </c>
    </row>
    <row r="724" spans="1:10" x14ac:dyDescent="0.35">
      <c r="A724" s="1">
        <v>46087.541805555556</v>
      </c>
      <c r="B724" t="s">
        <v>1365</v>
      </c>
      <c r="C724" t="s">
        <v>1366</v>
      </c>
      <c r="D724" t="s">
        <v>20</v>
      </c>
      <c r="E724">
        <v>65</v>
      </c>
      <c r="F724">
        <v>214.35</v>
      </c>
      <c r="G724" t="s">
        <v>21</v>
      </c>
      <c r="H724" t="s">
        <v>1400</v>
      </c>
      <c r="I724" t="s">
        <v>23</v>
      </c>
      <c r="J724" s="4" t="str">
        <f t="shared" si="11"/>
        <v>NIFTY</v>
      </c>
    </row>
    <row r="725" spans="1:10" x14ac:dyDescent="0.35">
      <c r="A725" s="1">
        <v>46087.634166666663</v>
      </c>
      <c r="B725" t="s">
        <v>1389</v>
      </c>
      <c r="C725" t="s">
        <v>1390</v>
      </c>
      <c r="D725" t="s">
        <v>20</v>
      </c>
      <c r="E725">
        <v>325</v>
      </c>
      <c r="F725">
        <v>1949.7</v>
      </c>
      <c r="G725" t="s">
        <v>21</v>
      </c>
      <c r="H725" t="s">
        <v>1401</v>
      </c>
      <c r="I725" t="s">
        <v>23</v>
      </c>
      <c r="J725" s="4" t="str">
        <f t="shared" si="11"/>
        <v>BLUESTARCO</v>
      </c>
    </row>
    <row r="726" spans="1:10" x14ac:dyDescent="0.35">
      <c r="A726" s="1">
        <v>46090.390324074076</v>
      </c>
      <c r="B726" t="s">
        <v>1342</v>
      </c>
      <c r="C726" t="s">
        <v>1343</v>
      </c>
      <c r="D726" t="s">
        <v>26</v>
      </c>
      <c r="E726">
        <v>2250</v>
      </c>
      <c r="F726">
        <v>12.05</v>
      </c>
      <c r="G726" t="s">
        <v>21</v>
      </c>
      <c r="H726" t="s">
        <v>1402</v>
      </c>
      <c r="I726" t="s">
        <v>23</v>
      </c>
      <c r="J726" s="4" t="str">
        <f t="shared" si="11"/>
        <v>ONGC</v>
      </c>
    </row>
    <row r="727" spans="1:10" x14ac:dyDescent="0.35">
      <c r="A727" s="1">
        <v>46090.392974537041</v>
      </c>
      <c r="B727" t="s">
        <v>1379</v>
      </c>
      <c r="C727" t="s">
        <v>1380</v>
      </c>
      <c r="D727" t="s">
        <v>20</v>
      </c>
      <c r="E727">
        <v>3750</v>
      </c>
      <c r="F727">
        <v>12.45</v>
      </c>
      <c r="G727" t="s">
        <v>21</v>
      </c>
      <c r="H727" t="s">
        <v>1403</v>
      </c>
      <c r="I727" t="s">
        <v>23</v>
      </c>
      <c r="J727" s="4" t="str">
        <f t="shared" si="11"/>
        <v>NATIONALUM</v>
      </c>
    </row>
    <row r="728" spans="1:10" x14ac:dyDescent="0.35">
      <c r="A728" s="1">
        <v>46090.395300925928</v>
      </c>
      <c r="B728" t="s">
        <v>1404</v>
      </c>
      <c r="C728" t="s">
        <v>1405</v>
      </c>
      <c r="D728" t="s">
        <v>26</v>
      </c>
      <c r="E728">
        <v>1400</v>
      </c>
      <c r="F728">
        <v>23.25</v>
      </c>
      <c r="G728" t="s">
        <v>21</v>
      </c>
      <c r="H728" t="s">
        <v>1406</v>
      </c>
      <c r="I728" t="s">
        <v>23</v>
      </c>
      <c r="J728" s="4" t="str">
        <f t="shared" si="11"/>
        <v>OIL</v>
      </c>
    </row>
    <row r="729" spans="1:10" x14ac:dyDescent="0.35">
      <c r="A729" s="1">
        <v>46090.415416666663</v>
      </c>
      <c r="B729" t="s">
        <v>1407</v>
      </c>
      <c r="C729" t="s">
        <v>1408</v>
      </c>
      <c r="D729" t="s">
        <v>26</v>
      </c>
      <c r="E729">
        <v>50</v>
      </c>
      <c r="F729">
        <v>15127</v>
      </c>
      <c r="G729" t="s">
        <v>21</v>
      </c>
      <c r="H729" t="s">
        <v>1409</v>
      </c>
      <c r="I729" t="s">
        <v>23</v>
      </c>
      <c r="J729" s="4" t="str">
        <f t="shared" si="11"/>
        <v>SOLARINDS</v>
      </c>
    </row>
    <row r="730" spans="1:10" x14ac:dyDescent="0.35">
      <c r="A730" s="1">
        <v>46091.424780092595</v>
      </c>
      <c r="B730" t="s">
        <v>1396</v>
      </c>
      <c r="C730" t="s">
        <v>1397</v>
      </c>
      <c r="D730" t="s">
        <v>20</v>
      </c>
      <c r="E730">
        <v>825</v>
      </c>
      <c r="F730">
        <v>37.85</v>
      </c>
      <c r="G730" t="s">
        <v>21</v>
      </c>
      <c r="H730" t="s">
        <v>1410</v>
      </c>
      <c r="I730" t="s">
        <v>23</v>
      </c>
      <c r="J730" s="4" t="str">
        <f t="shared" si="11"/>
        <v>SHRIRAMFIN</v>
      </c>
    </row>
    <row r="731" spans="1:10" x14ac:dyDescent="0.35">
      <c r="A731" s="1">
        <v>46091.428900462961</v>
      </c>
      <c r="B731" t="s">
        <v>1411</v>
      </c>
      <c r="C731" t="s">
        <v>1412</v>
      </c>
      <c r="D731" t="s">
        <v>26</v>
      </c>
      <c r="E731">
        <v>65</v>
      </c>
      <c r="F731">
        <v>331.8</v>
      </c>
      <c r="G731" t="s">
        <v>21</v>
      </c>
      <c r="H731" t="s">
        <v>1413</v>
      </c>
      <c r="I731" t="s">
        <v>23</v>
      </c>
      <c r="J731" s="4" t="str">
        <f t="shared" si="11"/>
        <v>NIFTY</v>
      </c>
    </row>
    <row r="732" spans="1:10" x14ac:dyDescent="0.35">
      <c r="A732" s="1">
        <v>46091.48369212963</v>
      </c>
      <c r="B732" t="s">
        <v>1411</v>
      </c>
      <c r="C732" t="s">
        <v>1412</v>
      </c>
      <c r="D732" t="s">
        <v>20</v>
      </c>
      <c r="E732">
        <v>65</v>
      </c>
      <c r="F732">
        <v>339.5</v>
      </c>
      <c r="G732" t="s">
        <v>21</v>
      </c>
      <c r="H732" t="s">
        <v>1414</v>
      </c>
      <c r="I732" t="s">
        <v>23</v>
      </c>
      <c r="J732" s="4" t="str">
        <f t="shared" si="11"/>
        <v>NIFTY</v>
      </c>
    </row>
    <row r="733" spans="1:10" x14ac:dyDescent="0.35">
      <c r="A733" s="1">
        <v>46091.517812500002</v>
      </c>
      <c r="B733" t="s">
        <v>1415</v>
      </c>
      <c r="C733" t="s">
        <v>1416</v>
      </c>
      <c r="D733" t="s">
        <v>26</v>
      </c>
      <c r="E733">
        <v>65</v>
      </c>
      <c r="F733">
        <v>324.45</v>
      </c>
      <c r="G733" t="s">
        <v>21</v>
      </c>
      <c r="H733" t="s">
        <v>1417</v>
      </c>
      <c r="I733" t="s">
        <v>23</v>
      </c>
      <c r="J733" s="4" t="str">
        <f t="shared" si="11"/>
        <v>NIFTY</v>
      </c>
    </row>
    <row r="734" spans="1:10" x14ac:dyDescent="0.35">
      <c r="A734" s="1">
        <v>46091.545219907406</v>
      </c>
      <c r="B734" t="s">
        <v>1415</v>
      </c>
      <c r="C734" t="s">
        <v>1416</v>
      </c>
      <c r="D734" t="s">
        <v>20</v>
      </c>
      <c r="E734">
        <v>65</v>
      </c>
      <c r="F734">
        <v>362.05</v>
      </c>
      <c r="G734" t="s">
        <v>21</v>
      </c>
      <c r="H734" t="s">
        <v>1418</v>
      </c>
      <c r="I734" t="s">
        <v>23</v>
      </c>
      <c r="J734" s="4" t="str">
        <f t="shared" si="11"/>
        <v>NIFTY</v>
      </c>
    </row>
    <row r="735" spans="1:10" x14ac:dyDescent="0.35">
      <c r="A735" s="1">
        <v>46092.385983796295</v>
      </c>
      <c r="B735" t="s">
        <v>1419</v>
      </c>
      <c r="C735" t="s">
        <v>1420</v>
      </c>
      <c r="D735" t="s">
        <v>26</v>
      </c>
      <c r="E735">
        <v>500</v>
      </c>
      <c r="F735">
        <v>34</v>
      </c>
      <c r="G735" t="s">
        <v>21</v>
      </c>
      <c r="H735" t="s">
        <v>1421</v>
      </c>
      <c r="I735" t="s">
        <v>23</v>
      </c>
      <c r="J735" s="4" t="str">
        <f t="shared" si="11"/>
        <v>RELIANCE</v>
      </c>
    </row>
    <row r="736" spans="1:10" x14ac:dyDescent="0.35">
      <c r="A736" s="1">
        <v>46092.400856481479</v>
      </c>
      <c r="B736" t="s">
        <v>1422</v>
      </c>
      <c r="C736" t="s">
        <v>1423</v>
      </c>
      <c r="D736" t="s">
        <v>26</v>
      </c>
      <c r="E736">
        <v>500</v>
      </c>
      <c r="F736">
        <v>38.15</v>
      </c>
      <c r="G736" t="s">
        <v>21</v>
      </c>
      <c r="H736" t="s">
        <v>1424</v>
      </c>
      <c r="I736" t="s">
        <v>23</v>
      </c>
      <c r="J736" s="4" t="str">
        <f t="shared" si="11"/>
        <v>RELIANCE</v>
      </c>
    </row>
    <row r="737" spans="1:10" x14ac:dyDescent="0.35">
      <c r="A737" s="1">
        <v>46093.5234375</v>
      </c>
      <c r="B737" t="s">
        <v>1425</v>
      </c>
      <c r="C737" t="s">
        <v>1426</v>
      </c>
      <c r="D737" t="s">
        <v>26</v>
      </c>
      <c r="E737">
        <v>20</v>
      </c>
      <c r="F737">
        <v>130</v>
      </c>
      <c r="G737" t="s">
        <v>32</v>
      </c>
      <c r="H737" t="s">
        <v>1427</v>
      </c>
      <c r="I737" t="s">
        <v>23</v>
      </c>
      <c r="J737" s="4" t="str">
        <f t="shared" si="11"/>
        <v>SENSEX</v>
      </c>
    </row>
    <row r="738" spans="1:10" x14ac:dyDescent="0.35">
      <c r="A738" s="1">
        <v>46093.566041666665</v>
      </c>
      <c r="B738" t="s">
        <v>1425</v>
      </c>
      <c r="C738" t="s">
        <v>1426</v>
      </c>
      <c r="D738" t="s">
        <v>20</v>
      </c>
      <c r="E738">
        <v>20</v>
      </c>
      <c r="F738">
        <v>234.05</v>
      </c>
      <c r="G738" t="s">
        <v>32</v>
      </c>
      <c r="H738" t="s">
        <v>1428</v>
      </c>
      <c r="I738" t="s">
        <v>23</v>
      </c>
      <c r="J738" s="4" t="str">
        <f t="shared" si="11"/>
        <v>SENSEX</v>
      </c>
    </row>
    <row r="739" spans="1:10" x14ac:dyDescent="0.35">
      <c r="A739" s="1">
        <v>46093.573819444442</v>
      </c>
      <c r="B739" t="s">
        <v>1429</v>
      </c>
      <c r="C739" t="s">
        <v>1430</v>
      </c>
      <c r="D739" t="s">
        <v>26</v>
      </c>
      <c r="E739">
        <v>6400</v>
      </c>
      <c r="F739">
        <v>2.34</v>
      </c>
      <c r="G739" t="s">
        <v>21</v>
      </c>
      <c r="H739" t="s">
        <v>1431</v>
      </c>
      <c r="I739" t="s">
        <v>23</v>
      </c>
      <c r="J739" s="4" t="str">
        <f t="shared" si="11"/>
        <v>NHPC</v>
      </c>
    </row>
    <row r="740" spans="1:10" x14ac:dyDescent="0.35">
      <c r="A740" s="1">
        <v>46093.58353009259</v>
      </c>
      <c r="B740" t="s">
        <v>1429</v>
      </c>
      <c r="C740" t="s">
        <v>1430</v>
      </c>
      <c r="D740" t="s">
        <v>20</v>
      </c>
      <c r="E740">
        <v>6400</v>
      </c>
      <c r="F740">
        <v>2.2000000000000002</v>
      </c>
      <c r="G740" t="s">
        <v>21</v>
      </c>
      <c r="H740" t="s">
        <v>1432</v>
      </c>
      <c r="I740" t="s">
        <v>23</v>
      </c>
      <c r="J740" s="4" t="str">
        <f t="shared" si="11"/>
        <v>NHPC</v>
      </c>
    </row>
    <row r="741" spans="1:10" x14ac:dyDescent="0.35">
      <c r="A741" s="1">
        <v>46093.602025462962</v>
      </c>
      <c r="B741" t="s">
        <v>1433</v>
      </c>
      <c r="C741" t="s">
        <v>1434</v>
      </c>
      <c r="D741" t="s">
        <v>26</v>
      </c>
      <c r="E741">
        <v>20</v>
      </c>
      <c r="F741">
        <v>137.75</v>
      </c>
      <c r="G741" t="s">
        <v>32</v>
      </c>
      <c r="H741" t="s">
        <v>1435</v>
      </c>
      <c r="I741" t="s">
        <v>23</v>
      </c>
      <c r="J741" s="4" t="str">
        <f t="shared" si="11"/>
        <v>SENSEX</v>
      </c>
    </row>
    <row r="742" spans="1:10" x14ac:dyDescent="0.35">
      <c r="A742" s="1">
        <v>46093.625497685185</v>
      </c>
      <c r="B742" t="s">
        <v>1433</v>
      </c>
      <c r="C742" t="s">
        <v>1434</v>
      </c>
      <c r="D742" t="s">
        <v>20</v>
      </c>
      <c r="E742">
        <v>20</v>
      </c>
      <c r="F742">
        <v>4.3</v>
      </c>
      <c r="G742" t="s">
        <v>32</v>
      </c>
      <c r="H742" t="s">
        <v>1436</v>
      </c>
      <c r="I742" t="s">
        <v>23</v>
      </c>
      <c r="J742" s="4" t="str">
        <f t="shared" si="11"/>
        <v>SENSEX</v>
      </c>
    </row>
    <row r="743" spans="1:10" x14ac:dyDescent="0.35">
      <c r="A743" s="1">
        <v>46093.628055555557</v>
      </c>
      <c r="B743" t="s">
        <v>1437</v>
      </c>
      <c r="C743" t="s">
        <v>1438</v>
      </c>
      <c r="D743" t="s">
        <v>26</v>
      </c>
      <c r="E743">
        <v>20</v>
      </c>
      <c r="F743">
        <v>1034.75</v>
      </c>
      <c r="G743" t="s">
        <v>32</v>
      </c>
      <c r="H743" t="s">
        <v>1439</v>
      </c>
      <c r="I743" t="s">
        <v>23</v>
      </c>
      <c r="J743" s="4" t="str">
        <f t="shared" si="11"/>
        <v>SENSEX</v>
      </c>
    </row>
    <row r="744" spans="1:10" x14ac:dyDescent="0.35">
      <c r="A744" s="1">
        <v>46093.639861111114</v>
      </c>
      <c r="B744" t="s">
        <v>1437</v>
      </c>
      <c r="C744" t="s">
        <v>1438</v>
      </c>
      <c r="D744" t="s">
        <v>20</v>
      </c>
      <c r="E744">
        <v>20</v>
      </c>
      <c r="F744">
        <v>1085.2</v>
      </c>
      <c r="G744" t="s">
        <v>32</v>
      </c>
      <c r="H744" t="s">
        <v>1440</v>
      </c>
      <c r="I744" t="s">
        <v>23</v>
      </c>
      <c r="J744" s="4" t="str">
        <f t="shared" si="11"/>
        <v>SENSEX</v>
      </c>
    </row>
    <row r="745" spans="1:10" x14ac:dyDescent="0.35">
      <c r="A745" s="1">
        <v>46100.410381944443</v>
      </c>
      <c r="B745" t="s">
        <v>1407</v>
      </c>
      <c r="C745" t="s">
        <v>1408</v>
      </c>
      <c r="D745" t="s">
        <v>20</v>
      </c>
      <c r="E745">
        <v>50</v>
      </c>
      <c r="F745">
        <v>13287</v>
      </c>
      <c r="G745" t="s">
        <v>21</v>
      </c>
      <c r="H745" t="s">
        <v>1441</v>
      </c>
      <c r="I745" t="s">
        <v>23</v>
      </c>
      <c r="J745" s="4" t="str">
        <f t="shared" si="11"/>
        <v>SOLARINDS</v>
      </c>
    </row>
    <row r="746" spans="1:10" x14ac:dyDescent="0.35">
      <c r="A746" s="1">
        <v>46101.428946759261</v>
      </c>
      <c r="B746" t="s">
        <v>1422</v>
      </c>
      <c r="C746" t="s">
        <v>1423</v>
      </c>
      <c r="D746" t="s">
        <v>20</v>
      </c>
      <c r="E746">
        <v>500</v>
      </c>
      <c r="F746">
        <v>31.15</v>
      </c>
      <c r="G746" t="s">
        <v>21</v>
      </c>
      <c r="H746" t="s">
        <v>1442</v>
      </c>
      <c r="I746" t="s">
        <v>23</v>
      </c>
      <c r="J746" s="4" t="str">
        <f t="shared" si="11"/>
        <v>RELIANCE</v>
      </c>
    </row>
    <row r="747" spans="1:10" x14ac:dyDescent="0.35">
      <c r="A747" s="1">
        <v>46101.599444444444</v>
      </c>
      <c r="B747" t="s">
        <v>1419</v>
      </c>
      <c r="C747" t="s">
        <v>1420</v>
      </c>
      <c r="D747" t="s">
        <v>20</v>
      </c>
      <c r="E747">
        <v>500</v>
      </c>
      <c r="F747">
        <v>19.600000000000001</v>
      </c>
      <c r="G747" t="s">
        <v>21</v>
      </c>
      <c r="H747" t="s">
        <v>1443</v>
      </c>
      <c r="I747" t="s">
        <v>23</v>
      </c>
      <c r="J747" s="4" t="str">
        <f t="shared" si="11"/>
        <v>RELIANCE</v>
      </c>
    </row>
    <row r="748" spans="1:10" x14ac:dyDescent="0.35">
      <c r="A748" s="1">
        <v>46105.401805555557</v>
      </c>
      <c r="B748" t="s">
        <v>1342</v>
      </c>
      <c r="C748" t="s">
        <v>1343</v>
      </c>
      <c r="D748" t="s">
        <v>20</v>
      </c>
      <c r="E748">
        <v>2250</v>
      </c>
      <c r="F748">
        <v>1.3</v>
      </c>
      <c r="G748" t="s">
        <v>21</v>
      </c>
      <c r="H748" t="s">
        <v>1444</v>
      </c>
      <c r="I748" t="s">
        <v>23</v>
      </c>
      <c r="J748" s="4" t="str">
        <f t="shared" si="11"/>
        <v>ONGC</v>
      </c>
    </row>
    <row r="749" spans="1:10" x14ac:dyDescent="0.35">
      <c r="A749" s="1">
        <v>46105.402511574073</v>
      </c>
      <c r="B749" t="s">
        <v>1404</v>
      </c>
      <c r="C749" t="s">
        <v>1405</v>
      </c>
      <c r="D749" t="s">
        <v>20</v>
      </c>
      <c r="E749">
        <v>1400</v>
      </c>
      <c r="F749">
        <v>4.5</v>
      </c>
      <c r="G749" t="s">
        <v>21</v>
      </c>
      <c r="H749" t="s">
        <v>1445</v>
      </c>
      <c r="I749" t="s">
        <v>23</v>
      </c>
      <c r="J749" s="4" t="str">
        <f t="shared" si="11"/>
        <v>OIL</v>
      </c>
    </row>
    <row r="750" spans="1:10" x14ac:dyDescent="0.35">
      <c r="A750" s="1">
        <v>46105.600231481483</v>
      </c>
      <c r="B750" t="s">
        <v>1370</v>
      </c>
      <c r="C750" t="s">
        <v>1371</v>
      </c>
      <c r="D750" t="s">
        <v>20</v>
      </c>
      <c r="E750">
        <v>3175</v>
      </c>
      <c r="F750">
        <v>1.25</v>
      </c>
      <c r="G750" t="s">
        <v>21</v>
      </c>
      <c r="H750" t="s">
        <v>1446</v>
      </c>
      <c r="I750" t="s">
        <v>23</v>
      </c>
      <c r="J750" s="4" t="str">
        <f t="shared" si="11"/>
        <v>RBLBANK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57B8-1047-46BF-9BB1-479A6C838E1E}">
  <dimension ref="A1:AD38"/>
  <sheetViews>
    <sheetView tabSelected="1" topLeftCell="A17" workbookViewId="0">
      <selection activeCell="H40" sqref="H40"/>
    </sheetView>
  </sheetViews>
  <sheetFormatPr defaultRowHeight="14.5" x14ac:dyDescent="0.35"/>
  <cols>
    <col min="5" max="5" width="25.26953125" bestFit="1" customWidth="1"/>
    <col min="8" max="8" width="10.08984375" bestFit="1" customWidth="1"/>
    <col min="10" max="10" width="8.81640625" bestFit="1" customWidth="1"/>
    <col min="11" max="11" width="10.08984375" bestFit="1" customWidth="1"/>
  </cols>
  <sheetData>
    <row r="1" spans="1:30" ht="26" x14ac:dyDescent="0.35">
      <c r="A1" s="5" t="s">
        <v>1522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7"/>
      <c r="R1" s="8">
        <v>0.25</v>
      </c>
      <c r="S1" s="8">
        <v>0.35</v>
      </c>
      <c r="T1" s="8">
        <v>0.5</v>
      </c>
      <c r="U1" s="9"/>
      <c r="V1" s="9" t="s">
        <v>1448</v>
      </c>
      <c r="W1" s="10"/>
      <c r="X1" s="10"/>
      <c r="Y1" s="7"/>
      <c r="Z1" s="11"/>
      <c r="AA1" s="12">
        <v>0.35</v>
      </c>
      <c r="AB1" s="13"/>
      <c r="AC1" s="14">
        <v>0.7</v>
      </c>
      <c r="AD1" s="14">
        <v>0.3</v>
      </c>
    </row>
    <row r="2" spans="1:30" ht="129.5" x14ac:dyDescent="0.35">
      <c r="A2" s="15" t="s">
        <v>1449</v>
      </c>
      <c r="B2" s="15" t="s">
        <v>1450</v>
      </c>
      <c r="C2" s="15" t="s">
        <v>1451</v>
      </c>
      <c r="D2" s="15" t="s">
        <v>1452</v>
      </c>
      <c r="E2" s="16" t="s">
        <v>1453</v>
      </c>
      <c r="F2" s="16" t="s">
        <v>1454</v>
      </c>
      <c r="G2" s="16" t="s">
        <v>1455</v>
      </c>
      <c r="H2" s="17" t="s">
        <v>1456</v>
      </c>
      <c r="I2" s="18" t="s">
        <v>1457</v>
      </c>
      <c r="J2" s="18" t="s">
        <v>1458</v>
      </c>
      <c r="K2" s="17" t="s">
        <v>1459</v>
      </c>
      <c r="L2" s="19" t="s">
        <v>1460</v>
      </c>
      <c r="M2" s="19" t="s">
        <v>1461</v>
      </c>
      <c r="N2" s="15" t="s">
        <v>1462</v>
      </c>
      <c r="O2" s="20" t="s">
        <v>1463</v>
      </c>
      <c r="P2" s="21" t="s">
        <v>1464</v>
      </c>
      <c r="Q2" s="15" t="s">
        <v>1465</v>
      </c>
      <c r="R2" s="22" t="s">
        <v>1466</v>
      </c>
      <c r="S2" s="23" t="s">
        <v>1467</v>
      </c>
      <c r="T2" s="24" t="s">
        <v>1468</v>
      </c>
      <c r="U2" s="24" t="s">
        <v>1469</v>
      </c>
      <c r="V2" s="22" t="s">
        <v>1470</v>
      </c>
      <c r="W2" s="25" t="s">
        <v>1471</v>
      </c>
      <c r="X2" s="26" t="s">
        <v>1472</v>
      </c>
      <c r="Y2" s="27" t="s">
        <v>1473</v>
      </c>
      <c r="Z2" s="28" t="s">
        <v>1469</v>
      </c>
      <c r="AA2" s="29" t="s">
        <v>1474</v>
      </c>
      <c r="AB2" s="30" t="s">
        <v>1475</v>
      </c>
      <c r="AC2" s="31" t="s">
        <v>1476</v>
      </c>
      <c r="AD2" s="31" t="s">
        <v>1477</v>
      </c>
    </row>
    <row r="3" spans="1:30" x14ac:dyDescent="0.35">
      <c r="A3" s="32">
        <v>9</v>
      </c>
      <c r="B3" s="33" t="s">
        <v>1478</v>
      </c>
      <c r="C3" s="32" t="s">
        <v>1479</v>
      </c>
      <c r="D3" s="34" t="s">
        <v>1480</v>
      </c>
      <c r="E3" s="35" t="s">
        <v>1481</v>
      </c>
      <c r="F3" s="36">
        <v>110</v>
      </c>
      <c r="G3" s="36">
        <v>1</v>
      </c>
      <c r="H3" s="37">
        <v>45961</v>
      </c>
      <c r="I3" s="38">
        <v>764.22</v>
      </c>
      <c r="J3" s="39">
        <f t="shared" ref="J3:J26" si="0">F3*I3*G3</f>
        <v>84064.2</v>
      </c>
      <c r="K3" s="37">
        <v>45964</v>
      </c>
      <c r="L3" s="39">
        <v>772.45</v>
      </c>
      <c r="M3" s="39">
        <f t="shared" ref="M3:M26" si="1">F3*L3*G3</f>
        <v>84969.5</v>
      </c>
      <c r="N3" s="40">
        <f t="shared" ref="N3:N38" si="2">M3-J3</f>
        <v>905.30000000000291</v>
      </c>
      <c r="O3" s="41">
        <f t="shared" ref="O3:O38" si="3">N3/J3</f>
        <v>1.0769150244693972E-2</v>
      </c>
      <c r="P3" s="35" t="s">
        <v>1482</v>
      </c>
      <c r="Q3" s="35" t="s">
        <v>1483</v>
      </c>
      <c r="R3" s="35">
        <f t="shared" ref="R3:R15" ca="1" si="4">IF(D3="FUTURES",J3*0.01,J3*$R$3)</f>
        <v>21016.05</v>
      </c>
      <c r="S3" s="35">
        <f t="shared" ref="S3:S15" ca="1" si="5">IF(D3="FUTURES",I3-(I3*0.01),I3-(I3*$S$3))</f>
        <v>496.74300000000005</v>
      </c>
      <c r="T3" s="35">
        <f t="shared" ref="T3:T15" ca="1" si="6">IF(D3="FUTURES",I3+(I3*0.03),I3+(I3*$T$3))</f>
        <v>1146.33</v>
      </c>
      <c r="U3" s="42"/>
      <c r="V3" s="35">
        <f t="shared" ref="V3:V15" ca="1" si="7">J3*$T$3</f>
        <v>42032.1</v>
      </c>
      <c r="W3" s="43">
        <f t="shared" ref="W3:W17" ca="1" si="8">IF(Q3="Closed",_xlfn.DAYS(K3,H3),_xlfn.DAYS(TODAY(),H3))</f>
        <v>3</v>
      </c>
      <c r="X3" s="44" t="str">
        <f t="shared" ref="X3:X38" si="9">IF(N3&gt;0,"P","L")</f>
        <v>P</v>
      </c>
      <c r="Y3" s="35" t="str">
        <f t="shared" ref="Y3:Y38" si="10">IF(Q3="Open",IF(N3&lt;-R3,"EXIT Immediately",IF(O3&lt;=-20%,"Plan to Exit","Wait")),"No Action")</f>
        <v>No Action</v>
      </c>
      <c r="Z3" s="42"/>
      <c r="AA3" s="45">
        <f t="shared" ref="AA3:AA38" ca="1" si="11">-IF(D3="FUTURES",J3*1%,J3*$AA$3)</f>
        <v>-29422.469999999998</v>
      </c>
      <c r="AB3" s="46">
        <f t="shared" ref="AB3:AB38" ca="1" si="12">IF(D3="MTF",IF(Q3="Closed",_xlfn.DAYS(K3,H3)*(0.04%*AC3),_xlfn.DAYS(TODAY(),H3)*(0.04%*AC3)),0)</f>
        <v>70.613928000000001</v>
      </c>
      <c r="AC3" s="47">
        <f t="shared" ref="AC3:AC38" ca="1" si="13">IF(D3="MTF",J3*$AC$3,0)</f>
        <v>58844.939999999995</v>
      </c>
      <c r="AD3" s="48">
        <f t="shared" ref="AD3:AD38" ca="1" si="14">IF(D3="MTF",J3*$AD$3,0)</f>
        <v>25219.26</v>
      </c>
    </row>
    <row r="4" spans="1:30" x14ac:dyDescent="0.35">
      <c r="A4" s="32">
        <v>27</v>
      </c>
      <c r="B4" s="33" t="s">
        <v>1478</v>
      </c>
      <c r="C4" s="32" t="s">
        <v>1479</v>
      </c>
      <c r="D4" s="34" t="s">
        <v>1480</v>
      </c>
      <c r="E4" s="35" t="s">
        <v>1484</v>
      </c>
      <c r="F4" s="36">
        <v>1000</v>
      </c>
      <c r="G4" s="36">
        <v>1</v>
      </c>
      <c r="H4" s="37">
        <v>45958</v>
      </c>
      <c r="I4" s="38">
        <v>9.43</v>
      </c>
      <c r="J4" s="39">
        <f t="shared" si="0"/>
        <v>9430</v>
      </c>
      <c r="K4" s="49">
        <v>45972</v>
      </c>
      <c r="L4" s="39">
        <v>10.26</v>
      </c>
      <c r="M4" s="39">
        <f t="shared" si="1"/>
        <v>10260</v>
      </c>
      <c r="N4" s="40">
        <f t="shared" si="2"/>
        <v>830</v>
      </c>
      <c r="O4" s="41">
        <f t="shared" si="3"/>
        <v>8.8016967126193002E-2</v>
      </c>
      <c r="P4" s="35" t="s">
        <v>1482</v>
      </c>
      <c r="Q4" s="35" t="s">
        <v>1483</v>
      </c>
      <c r="R4" s="35">
        <f t="shared" ca="1" si="4"/>
        <v>2357.5</v>
      </c>
      <c r="S4" s="35">
        <f t="shared" ca="1" si="5"/>
        <v>6.1295000000000002</v>
      </c>
      <c r="T4" s="35">
        <f t="shared" ca="1" si="6"/>
        <v>14.145</v>
      </c>
      <c r="U4" s="42"/>
      <c r="V4" s="35">
        <f t="shared" ca="1" si="7"/>
        <v>4715</v>
      </c>
      <c r="W4" s="43">
        <f t="shared" ca="1" si="8"/>
        <v>14</v>
      </c>
      <c r="X4" s="44" t="str">
        <f t="shared" si="9"/>
        <v>P</v>
      </c>
      <c r="Y4" s="35" t="str">
        <f t="shared" si="10"/>
        <v>No Action</v>
      </c>
      <c r="Z4" s="42"/>
      <c r="AA4" s="45">
        <f t="shared" ca="1" si="11"/>
        <v>-3300.5</v>
      </c>
      <c r="AB4" s="50">
        <f t="shared" ca="1" si="12"/>
        <v>36.965600000000002</v>
      </c>
      <c r="AC4" s="47">
        <f t="shared" ca="1" si="13"/>
        <v>6601</v>
      </c>
      <c r="AD4" s="48">
        <f t="shared" ca="1" si="14"/>
        <v>2829</v>
      </c>
    </row>
    <row r="5" spans="1:30" ht="29" x14ac:dyDescent="0.35">
      <c r="A5" s="32">
        <v>28</v>
      </c>
      <c r="B5" s="33" t="s">
        <v>1478</v>
      </c>
      <c r="C5" s="34" t="s">
        <v>1485</v>
      </c>
      <c r="D5" s="34" t="s">
        <v>1486</v>
      </c>
      <c r="E5" s="35" t="s">
        <v>1487</v>
      </c>
      <c r="F5" s="36">
        <v>25</v>
      </c>
      <c r="G5" s="36">
        <v>1</v>
      </c>
      <c r="H5" s="37">
        <v>45967</v>
      </c>
      <c r="I5" s="38">
        <v>48.76</v>
      </c>
      <c r="J5" s="43">
        <f t="shared" si="0"/>
        <v>1219</v>
      </c>
      <c r="K5" s="51"/>
      <c r="L5" s="36">
        <v>43.19</v>
      </c>
      <c r="M5" s="39">
        <f t="shared" si="1"/>
        <v>1079.75</v>
      </c>
      <c r="N5" s="40">
        <f t="shared" si="2"/>
        <v>-139.25</v>
      </c>
      <c r="O5" s="41">
        <f t="shared" si="3"/>
        <v>-0.11423297785069729</v>
      </c>
      <c r="P5" s="35" t="s">
        <v>1482</v>
      </c>
      <c r="Q5" s="35" t="s">
        <v>1488</v>
      </c>
      <c r="R5" s="35">
        <f t="shared" ca="1" si="4"/>
        <v>304.75</v>
      </c>
      <c r="S5" s="35">
        <f t="shared" ca="1" si="5"/>
        <v>31.693999999999999</v>
      </c>
      <c r="T5" s="35">
        <f t="shared" ca="1" si="6"/>
        <v>73.14</v>
      </c>
      <c r="U5" s="42"/>
      <c r="V5" s="35">
        <f t="shared" ca="1" si="7"/>
        <v>609.5</v>
      </c>
      <c r="W5" s="43">
        <f t="shared" ca="1" si="8"/>
        <v>168</v>
      </c>
      <c r="X5" s="44" t="str">
        <f t="shared" si="9"/>
        <v>L</v>
      </c>
      <c r="Y5" s="35" t="str">
        <f t="shared" ca="1" si="10"/>
        <v>Wait</v>
      </c>
      <c r="Z5" s="42"/>
      <c r="AA5" s="45">
        <f t="shared" ca="1" si="11"/>
        <v>-426.65</v>
      </c>
      <c r="AB5" s="50">
        <f t="shared" ca="1" si="12"/>
        <v>0</v>
      </c>
      <c r="AC5" s="47">
        <f t="shared" si="13"/>
        <v>0</v>
      </c>
      <c r="AD5" s="52">
        <f t="shared" si="14"/>
        <v>0</v>
      </c>
    </row>
    <row r="6" spans="1:30" ht="29" x14ac:dyDescent="0.35">
      <c r="A6" s="32">
        <v>29</v>
      </c>
      <c r="B6" s="33" t="s">
        <v>1478</v>
      </c>
      <c r="C6" s="34" t="s">
        <v>1485</v>
      </c>
      <c r="D6" s="34" t="s">
        <v>1486</v>
      </c>
      <c r="E6" s="35" t="s">
        <v>1489</v>
      </c>
      <c r="F6" s="36">
        <v>20</v>
      </c>
      <c r="G6" s="36">
        <v>1</v>
      </c>
      <c r="H6" s="37">
        <v>45967</v>
      </c>
      <c r="I6" s="38">
        <v>47.05</v>
      </c>
      <c r="J6" s="43">
        <f t="shared" si="0"/>
        <v>941</v>
      </c>
      <c r="K6" s="53"/>
      <c r="L6" s="42">
        <v>46.42</v>
      </c>
      <c r="M6" s="39">
        <f t="shared" si="1"/>
        <v>928.40000000000009</v>
      </c>
      <c r="N6" s="40">
        <f t="shared" si="2"/>
        <v>-12.599999999999909</v>
      </c>
      <c r="O6" s="41">
        <f t="shared" si="3"/>
        <v>-1.3390010626992464E-2</v>
      </c>
      <c r="P6" s="35" t="s">
        <v>1482</v>
      </c>
      <c r="Q6" s="35" t="s">
        <v>1488</v>
      </c>
      <c r="R6" s="35">
        <f t="shared" ca="1" si="4"/>
        <v>235.25</v>
      </c>
      <c r="S6" s="35">
        <f t="shared" ca="1" si="5"/>
        <v>30.5825</v>
      </c>
      <c r="T6" s="35">
        <f t="shared" ca="1" si="6"/>
        <v>70.574999999999989</v>
      </c>
      <c r="U6" s="42"/>
      <c r="V6" s="35">
        <f t="shared" ca="1" si="7"/>
        <v>470.5</v>
      </c>
      <c r="W6" s="43">
        <f t="shared" ca="1" si="8"/>
        <v>168</v>
      </c>
      <c r="X6" s="44" t="str">
        <f t="shared" si="9"/>
        <v>L</v>
      </c>
      <c r="Y6" s="35" t="str">
        <f t="shared" ca="1" si="10"/>
        <v>Wait</v>
      </c>
      <c r="Z6" s="42"/>
      <c r="AA6" s="45">
        <f t="shared" ca="1" si="11"/>
        <v>-329.34999999999997</v>
      </c>
      <c r="AB6" s="50">
        <f t="shared" ca="1" si="12"/>
        <v>0</v>
      </c>
      <c r="AC6" s="47">
        <f t="shared" si="13"/>
        <v>0</v>
      </c>
      <c r="AD6" s="52">
        <f t="shared" si="14"/>
        <v>0</v>
      </c>
    </row>
    <row r="7" spans="1:30" ht="29" x14ac:dyDescent="0.35">
      <c r="A7" s="32">
        <v>30</v>
      </c>
      <c r="B7" s="33" t="s">
        <v>1478</v>
      </c>
      <c r="C7" s="34" t="s">
        <v>1485</v>
      </c>
      <c r="D7" s="34" t="s">
        <v>1486</v>
      </c>
      <c r="E7" s="35" t="s">
        <v>1487</v>
      </c>
      <c r="F7" s="36">
        <v>20</v>
      </c>
      <c r="G7" s="36">
        <v>1</v>
      </c>
      <c r="H7" s="37">
        <v>45971</v>
      </c>
      <c r="I7" s="38">
        <v>45.4</v>
      </c>
      <c r="J7" s="43">
        <f t="shared" si="0"/>
        <v>908</v>
      </c>
      <c r="K7" s="51"/>
      <c r="L7" s="36">
        <v>42.7</v>
      </c>
      <c r="M7" s="39">
        <f t="shared" si="1"/>
        <v>854</v>
      </c>
      <c r="N7" s="40">
        <f t="shared" si="2"/>
        <v>-54</v>
      </c>
      <c r="O7" s="41">
        <f t="shared" si="3"/>
        <v>-5.9471365638766517E-2</v>
      </c>
      <c r="P7" s="35" t="s">
        <v>1482</v>
      </c>
      <c r="Q7" s="35" t="s">
        <v>1488</v>
      </c>
      <c r="R7" s="35">
        <f t="shared" ca="1" si="4"/>
        <v>227</v>
      </c>
      <c r="S7" s="35">
        <f t="shared" ca="1" si="5"/>
        <v>29.509999999999998</v>
      </c>
      <c r="T7" s="35">
        <f t="shared" ca="1" si="6"/>
        <v>68.099999999999994</v>
      </c>
      <c r="U7" s="42"/>
      <c r="V7" s="35">
        <f t="shared" ca="1" si="7"/>
        <v>454</v>
      </c>
      <c r="W7" s="43">
        <f t="shared" ca="1" si="8"/>
        <v>164</v>
      </c>
      <c r="X7" s="44" t="str">
        <f t="shared" si="9"/>
        <v>L</v>
      </c>
      <c r="Y7" s="35" t="str">
        <f t="shared" ca="1" si="10"/>
        <v>Wait</v>
      </c>
      <c r="Z7" s="42"/>
      <c r="AA7" s="45">
        <f t="shared" ca="1" si="11"/>
        <v>-317.79999999999995</v>
      </c>
      <c r="AB7" s="50">
        <f t="shared" ca="1" si="12"/>
        <v>0</v>
      </c>
      <c r="AC7" s="47">
        <f t="shared" si="13"/>
        <v>0</v>
      </c>
      <c r="AD7" s="52">
        <f t="shared" si="14"/>
        <v>0</v>
      </c>
    </row>
    <row r="8" spans="1:30" ht="29" x14ac:dyDescent="0.35">
      <c r="A8" s="32">
        <v>31</v>
      </c>
      <c r="B8" s="33" t="s">
        <v>1478</v>
      </c>
      <c r="C8" s="34" t="s">
        <v>1485</v>
      </c>
      <c r="D8" s="34" t="s">
        <v>1486</v>
      </c>
      <c r="E8" s="35" t="s">
        <v>1489</v>
      </c>
      <c r="F8" s="36">
        <v>5</v>
      </c>
      <c r="G8" s="36">
        <v>1</v>
      </c>
      <c r="H8" s="37">
        <v>45971</v>
      </c>
      <c r="I8" s="38">
        <v>45.6</v>
      </c>
      <c r="J8" s="43">
        <f t="shared" si="0"/>
        <v>228</v>
      </c>
      <c r="K8" s="53"/>
      <c r="L8" s="42">
        <v>46.42</v>
      </c>
      <c r="M8" s="39">
        <f t="shared" si="1"/>
        <v>232.10000000000002</v>
      </c>
      <c r="N8" s="40">
        <f t="shared" si="2"/>
        <v>4.1000000000000227</v>
      </c>
      <c r="O8" s="41">
        <f t="shared" si="3"/>
        <v>1.7982456140350978E-2</v>
      </c>
      <c r="P8" s="35" t="s">
        <v>1482</v>
      </c>
      <c r="Q8" s="35" t="s">
        <v>1488</v>
      </c>
      <c r="R8" s="35">
        <f t="shared" ca="1" si="4"/>
        <v>57</v>
      </c>
      <c r="S8" s="35">
        <f t="shared" ca="1" si="5"/>
        <v>29.64</v>
      </c>
      <c r="T8" s="35">
        <f t="shared" ca="1" si="6"/>
        <v>68.400000000000006</v>
      </c>
      <c r="U8" s="42"/>
      <c r="V8" s="35">
        <f t="shared" ca="1" si="7"/>
        <v>114</v>
      </c>
      <c r="W8" s="43">
        <f t="shared" ca="1" si="8"/>
        <v>164</v>
      </c>
      <c r="X8" s="44" t="str">
        <f t="shared" si="9"/>
        <v>P</v>
      </c>
      <c r="Y8" s="35" t="str">
        <f t="shared" ca="1" si="10"/>
        <v>Wait</v>
      </c>
      <c r="Z8" s="42"/>
      <c r="AA8" s="45">
        <f t="shared" ca="1" si="11"/>
        <v>-79.8</v>
      </c>
      <c r="AB8" s="50">
        <f t="shared" ca="1" si="12"/>
        <v>0</v>
      </c>
      <c r="AC8" s="47">
        <f t="shared" si="13"/>
        <v>0</v>
      </c>
      <c r="AD8" s="52">
        <f t="shared" si="14"/>
        <v>0</v>
      </c>
    </row>
    <row r="9" spans="1:30" x14ac:dyDescent="0.35">
      <c r="A9" s="32">
        <v>32</v>
      </c>
      <c r="B9" s="33" t="s">
        <v>1478</v>
      </c>
      <c r="C9" s="34" t="s">
        <v>1479</v>
      </c>
      <c r="D9" s="34" t="s">
        <v>1480</v>
      </c>
      <c r="E9" s="35" t="s">
        <v>1490</v>
      </c>
      <c r="F9" s="36">
        <v>25</v>
      </c>
      <c r="G9" s="36">
        <v>1</v>
      </c>
      <c r="H9" s="37">
        <v>45855</v>
      </c>
      <c r="I9" s="38">
        <v>1564</v>
      </c>
      <c r="J9" s="39">
        <f t="shared" si="0"/>
        <v>39100</v>
      </c>
      <c r="K9" s="53"/>
      <c r="L9" s="39">
        <v>1450</v>
      </c>
      <c r="M9" s="39">
        <f t="shared" si="1"/>
        <v>36250</v>
      </c>
      <c r="N9" s="40">
        <f t="shared" si="2"/>
        <v>-2850</v>
      </c>
      <c r="O9" s="41">
        <f t="shared" si="3"/>
        <v>-7.2890025575447576E-2</v>
      </c>
      <c r="P9" s="35" t="s">
        <v>1482</v>
      </c>
      <c r="Q9" s="35" t="s">
        <v>1488</v>
      </c>
      <c r="R9" s="35">
        <f t="shared" ca="1" si="4"/>
        <v>9775</v>
      </c>
      <c r="S9" s="35">
        <f t="shared" ca="1" si="5"/>
        <v>1016.6</v>
      </c>
      <c r="T9" s="35">
        <f t="shared" ca="1" si="6"/>
        <v>2346</v>
      </c>
      <c r="U9" s="42"/>
      <c r="V9" s="35">
        <f t="shared" ca="1" si="7"/>
        <v>19550</v>
      </c>
      <c r="W9" s="44">
        <f t="shared" ca="1" si="8"/>
        <v>280</v>
      </c>
      <c r="X9" s="44" t="str">
        <f t="shared" si="9"/>
        <v>L</v>
      </c>
      <c r="Y9" s="35" t="str">
        <f t="shared" ca="1" si="10"/>
        <v>Wait</v>
      </c>
      <c r="Z9" s="54"/>
      <c r="AA9" s="45">
        <f t="shared" ca="1" si="11"/>
        <v>-13685</v>
      </c>
      <c r="AB9" s="50">
        <f t="shared" ca="1" si="12"/>
        <v>3065.44</v>
      </c>
      <c r="AC9" s="47">
        <f t="shared" ca="1" si="13"/>
        <v>27370</v>
      </c>
      <c r="AD9" s="52">
        <f t="shared" ca="1" si="14"/>
        <v>11730</v>
      </c>
    </row>
    <row r="10" spans="1:30" ht="29" x14ac:dyDescent="0.35">
      <c r="A10" s="32">
        <v>45</v>
      </c>
      <c r="B10" s="33" t="s">
        <v>1478</v>
      </c>
      <c r="C10" s="33" t="s">
        <v>1485</v>
      </c>
      <c r="D10" s="34" t="s">
        <v>1486</v>
      </c>
      <c r="E10" s="55" t="s">
        <v>1487</v>
      </c>
      <c r="F10" s="36">
        <v>55</v>
      </c>
      <c r="G10" s="36">
        <v>1</v>
      </c>
      <c r="H10" s="37">
        <v>45973</v>
      </c>
      <c r="I10" s="38">
        <v>42.99</v>
      </c>
      <c r="J10" s="43">
        <f t="shared" si="0"/>
        <v>2364.4500000000003</v>
      </c>
      <c r="K10" s="51"/>
      <c r="L10" s="36">
        <v>43.19</v>
      </c>
      <c r="M10" s="39">
        <f t="shared" si="1"/>
        <v>2375.4499999999998</v>
      </c>
      <c r="N10" s="40">
        <f t="shared" si="2"/>
        <v>10.999999999999545</v>
      </c>
      <c r="O10" s="41">
        <f t="shared" si="3"/>
        <v>4.652244708071452E-3</v>
      </c>
      <c r="P10" s="35" t="s">
        <v>1482</v>
      </c>
      <c r="Q10" s="35" t="s">
        <v>1488</v>
      </c>
      <c r="R10" s="35">
        <f t="shared" ca="1" si="4"/>
        <v>591.11250000000007</v>
      </c>
      <c r="S10" s="35">
        <f t="shared" ca="1" si="5"/>
        <v>27.9435</v>
      </c>
      <c r="T10" s="35">
        <f t="shared" ca="1" si="6"/>
        <v>64.484999999999999</v>
      </c>
      <c r="U10" s="42"/>
      <c r="V10" s="35">
        <f t="shared" ca="1" si="7"/>
        <v>1182.2250000000001</v>
      </c>
      <c r="W10" s="43">
        <f t="shared" ca="1" si="8"/>
        <v>162</v>
      </c>
      <c r="X10" s="44" t="str">
        <f t="shared" si="9"/>
        <v>P</v>
      </c>
      <c r="Y10" s="35" t="str">
        <f t="shared" ca="1" si="10"/>
        <v>Wait</v>
      </c>
      <c r="Z10" s="42"/>
      <c r="AA10" s="45">
        <f t="shared" ca="1" si="11"/>
        <v>-827.5575</v>
      </c>
      <c r="AB10" s="50">
        <f t="shared" ca="1" si="12"/>
        <v>0</v>
      </c>
      <c r="AC10" s="47">
        <f t="shared" si="13"/>
        <v>0</v>
      </c>
      <c r="AD10" s="56">
        <f t="shared" si="14"/>
        <v>0</v>
      </c>
    </row>
    <row r="11" spans="1:30" ht="29" x14ac:dyDescent="0.35">
      <c r="A11" s="57">
        <v>47</v>
      </c>
      <c r="B11" s="33" t="s">
        <v>1478</v>
      </c>
      <c r="C11" s="33" t="s">
        <v>1485</v>
      </c>
      <c r="D11" s="34" t="s">
        <v>1480</v>
      </c>
      <c r="E11" s="55" t="s">
        <v>1487</v>
      </c>
      <c r="F11" s="36">
        <v>50</v>
      </c>
      <c r="G11" s="36">
        <v>1</v>
      </c>
      <c r="H11" s="37">
        <v>45974</v>
      </c>
      <c r="I11" s="38">
        <v>42.5</v>
      </c>
      <c r="J11" s="43">
        <f t="shared" si="0"/>
        <v>2125</v>
      </c>
      <c r="K11" s="51"/>
      <c r="L11" s="36">
        <v>43.19</v>
      </c>
      <c r="M11" s="39">
        <f t="shared" si="1"/>
        <v>2159.5</v>
      </c>
      <c r="N11" s="40">
        <f t="shared" si="2"/>
        <v>34.5</v>
      </c>
      <c r="O11" s="41">
        <f t="shared" si="3"/>
        <v>1.623529411764706E-2</v>
      </c>
      <c r="P11" s="35" t="s">
        <v>1482</v>
      </c>
      <c r="Q11" s="35" t="s">
        <v>1488</v>
      </c>
      <c r="R11" s="35">
        <f t="shared" ca="1" si="4"/>
        <v>531.25</v>
      </c>
      <c r="S11" s="35">
        <f t="shared" ca="1" si="5"/>
        <v>27.625</v>
      </c>
      <c r="T11" s="35">
        <f t="shared" ca="1" si="6"/>
        <v>63.75</v>
      </c>
      <c r="U11" s="42"/>
      <c r="V11" s="35">
        <f t="shared" ca="1" si="7"/>
        <v>1062.5</v>
      </c>
      <c r="W11" s="43">
        <f t="shared" ca="1" si="8"/>
        <v>161</v>
      </c>
      <c r="X11" s="44" t="str">
        <f t="shared" si="9"/>
        <v>P</v>
      </c>
      <c r="Y11" s="35" t="str">
        <f t="shared" ca="1" si="10"/>
        <v>Wait</v>
      </c>
      <c r="Z11" s="42"/>
      <c r="AA11" s="45">
        <f t="shared" ca="1" si="11"/>
        <v>-743.75</v>
      </c>
      <c r="AB11" s="50">
        <f t="shared" ca="1" si="12"/>
        <v>95.795000000000002</v>
      </c>
      <c r="AC11" s="47">
        <f t="shared" ca="1" si="13"/>
        <v>1487.5</v>
      </c>
      <c r="AD11" s="56">
        <f t="shared" ca="1" si="14"/>
        <v>637.5</v>
      </c>
    </row>
    <row r="12" spans="1:30" ht="29" x14ac:dyDescent="0.35">
      <c r="A12" s="32">
        <v>53</v>
      </c>
      <c r="B12" s="33" t="s">
        <v>1478</v>
      </c>
      <c r="C12" s="33" t="s">
        <v>1485</v>
      </c>
      <c r="D12" s="34" t="s">
        <v>1486</v>
      </c>
      <c r="E12" s="33" t="s">
        <v>1491</v>
      </c>
      <c r="F12" s="36">
        <v>17</v>
      </c>
      <c r="G12" s="36">
        <v>1</v>
      </c>
      <c r="H12" s="37">
        <v>45974</v>
      </c>
      <c r="I12" s="38">
        <v>299.79000000000002</v>
      </c>
      <c r="J12" s="43">
        <f t="shared" si="0"/>
        <v>5096.43</v>
      </c>
      <c r="K12" s="51"/>
      <c r="L12" s="36">
        <v>297</v>
      </c>
      <c r="M12" s="39">
        <f t="shared" si="1"/>
        <v>5049</v>
      </c>
      <c r="N12" s="40">
        <f t="shared" si="2"/>
        <v>-47.430000000000291</v>
      </c>
      <c r="O12" s="41">
        <f t="shared" si="3"/>
        <v>-9.3065145601921914E-3</v>
      </c>
      <c r="P12" s="35" t="s">
        <v>1492</v>
      </c>
      <c r="Q12" s="35" t="s">
        <v>1488</v>
      </c>
      <c r="R12" s="35">
        <f t="shared" ca="1" si="4"/>
        <v>1274.1075000000001</v>
      </c>
      <c r="S12" s="35">
        <f t="shared" ca="1" si="5"/>
        <v>194.86350000000002</v>
      </c>
      <c r="T12" s="35">
        <f t="shared" ca="1" si="6"/>
        <v>449.68500000000006</v>
      </c>
      <c r="U12" s="42"/>
      <c r="V12" s="35">
        <f t="shared" ca="1" si="7"/>
        <v>2548.2150000000001</v>
      </c>
      <c r="W12" s="43">
        <f t="shared" ca="1" si="8"/>
        <v>161</v>
      </c>
      <c r="X12" s="44" t="str">
        <f t="shared" si="9"/>
        <v>L</v>
      </c>
      <c r="Y12" s="35" t="str">
        <f t="shared" ca="1" si="10"/>
        <v>Wait</v>
      </c>
      <c r="Z12" s="42"/>
      <c r="AA12" s="45">
        <f t="shared" ca="1" si="11"/>
        <v>-1783.7505000000001</v>
      </c>
      <c r="AB12" s="50">
        <f t="shared" ca="1" si="12"/>
        <v>0</v>
      </c>
      <c r="AC12" s="47">
        <f t="shared" si="13"/>
        <v>0</v>
      </c>
      <c r="AD12" s="56">
        <f t="shared" si="14"/>
        <v>0</v>
      </c>
    </row>
    <row r="13" spans="1:30" ht="29" x14ac:dyDescent="0.35">
      <c r="A13" s="57">
        <v>54</v>
      </c>
      <c r="B13" s="33" t="s">
        <v>1478</v>
      </c>
      <c r="C13" s="33" t="s">
        <v>1485</v>
      </c>
      <c r="D13" s="34" t="s">
        <v>1480</v>
      </c>
      <c r="E13" s="55" t="s">
        <v>1493</v>
      </c>
      <c r="F13" s="36">
        <v>5</v>
      </c>
      <c r="G13" s="36">
        <v>1</v>
      </c>
      <c r="H13" s="37">
        <v>45974</v>
      </c>
      <c r="I13" s="38">
        <v>1079</v>
      </c>
      <c r="J13" s="43">
        <f t="shared" si="0"/>
        <v>5395</v>
      </c>
      <c r="K13" s="51"/>
      <c r="L13" s="36">
        <v>1076</v>
      </c>
      <c r="M13" s="39">
        <f t="shared" si="1"/>
        <v>5380</v>
      </c>
      <c r="N13" s="40">
        <f t="shared" si="2"/>
        <v>-15</v>
      </c>
      <c r="O13" s="41">
        <f t="shared" si="3"/>
        <v>-2.7803521779425394E-3</v>
      </c>
      <c r="P13" s="35" t="s">
        <v>1482</v>
      </c>
      <c r="Q13" s="35" t="s">
        <v>1488</v>
      </c>
      <c r="R13" s="35">
        <f t="shared" ca="1" si="4"/>
        <v>1348.75</v>
      </c>
      <c r="S13" s="35">
        <f t="shared" ca="1" si="5"/>
        <v>701.35</v>
      </c>
      <c r="T13" s="35">
        <f t="shared" ca="1" si="6"/>
        <v>1618.5</v>
      </c>
      <c r="U13" s="42"/>
      <c r="V13" s="35">
        <f t="shared" ca="1" si="7"/>
        <v>2697.5</v>
      </c>
      <c r="W13" s="43">
        <f t="shared" ca="1" si="8"/>
        <v>161</v>
      </c>
      <c r="X13" s="44" t="str">
        <f t="shared" si="9"/>
        <v>L</v>
      </c>
      <c r="Y13" s="35" t="str">
        <f t="shared" ca="1" si="10"/>
        <v>Wait</v>
      </c>
      <c r="Z13" s="42"/>
      <c r="AA13" s="45">
        <f t="shared" ca="1" si="11"/>
        <v>-1888.2499999999998</v>
      </c>
      <c r="AB13" s="50">
        <f t="shared" ca="1" si="12"/>
        <v>243.20659999999998</v>
      </c>
      <c r="AC13" s="47">
        <f t="shared" ca="1" si="13"/>
        <v>3776.4999999999995</v>
      </c>
      <c r="AD13" s="56">
        <f t="shared" ca="1" si="14"/>
        <v>1618.5</v>
      </c>
    </row>
    <row r="14" spans="1:30" ht="29" x14ac:dyDescent="0.35">
      <c r="A14" s="32">
        <v>55</v>
      </c>
      <c r="B14" s="33" t="s">
        <v>1478</v>
      </c>
      <c r="C14" s="33" t="s">
        <v>1485</v>
      </c>
      <c r="D14" s="34" t="s">
        <v>1480</v>
      </c>
      <c r="E14" s="55" t="s">
        <v>1494</v>
      </c>
      <c r="F14" s="36">
        <v>25</v>
      </c>
      <c r="G14" s="36">
        <v>1</v>
      </c>
      <c r="H14" s="37">
        <v>45974</v>
      </c>
      <c r="I14" s="38">
        <v>398.9</v>
      </c>
      <c r="J14" s="43">
        <f t="shared" si="0"/>
        <v>9972.5</v>
      </c>
      <c r="K14" s="51"/>
      <c r="L14" s="36">
        <v>395</v>
      </c>
      <c r="M14" s="39">
        <f t="shared" si="1"/>
        <v>9875</v>
      </c>
      <c r="N14" s="40">
        <f t="shared" si="2"/>
        <v>-97.5</v>
      </c>
      <c r="O14" s="41">
        <f t="shared" si="3"/>
        <v>-9.7768864377036843E-3</v>
      </c>
      <c r="P14" s="35" t="s">
        <v>1482</v>
      </c>
      <c r="Q14" s="35" t="s">
        <v>1488</v>
      </c>
      <c r="R14" s="35">
        <f t="shared" ca="1" si="4"/>
        <v>2493.125</v>
      </c>
      <c r="S14" s="35">
        <f t="shared" ca="1" si="5"/>
        <v>259.28499999999997</v>
      </c>
      <c r="T14" s="35">
        <f t="shared" ca="1" si="6"/>
        <v>598.34999999999991</v>
      </c>
      <c r="U14" s="42"/>
      <c r="V14" s="35">
        <f t="shared" ca="1" si="7"/>
        <v>4986.25</v>
      </c>
      <c r="W14" s="43">
        <f t="shared" ca="1" si="8"/>
        <v>161</v>
      </c>
      <c r="X14" s="44" t="str">
        <f t="shared" si="9"/>
        <v>L</v>
      </c>
      <c r="Y14" s="35" t="str">
        <f t="shared" ca="1" si="10"/>
        <v>Wait</v>
      </c>
      <c r="Z14" s="42"/>
      <c r="AA14" s="45">
        <f t="shared" ca="1" si="11"/>
        <v>-3490.375</v>
      </c>
      <c r="AB14" s="50">
        <f t="shared" ca="1" si="12"/>
        <v>449.56029999999998</v>
      </c>
      <c r="AC14" s="47">
        <f t="shared" ca="1" si="13"/>
        <v>6980.75</v>
      </c>
      <c r="AD14" s="56">
        <f t="shared" ca="1" si="14"/>
        <v>2991.75</v>
      </c>
    </row>
    <row r="15" spans="1:30" ht="29" x14ac:dyDescent="0.35">
      <c r="A15" s="32">
        <v>56</v>
      </c>
      <c r="B15" s="33" t="s">
        <v>1478</v>
      </c>
      <c r="C15" s="33" t="s">
        <v>1485</v>
      </c>
      <c r="D15" s="34" t="s">
        <v>1480</v>
      </c>
      <c r="E15" s="35" t="s">
        <v>1495</v>
      </c>
      <c r="F15" s="36">
        <v>10</v>
      </c>
      <c r="G15" s="36">
        <v>1</v>
      </c>
      <c r="H15" s="37">
        <v>45974</v>
      </c>
      <c r="I15" s="38">
        <v>176.87</v>
      </c>
      <c r="J15" s="43">
        <f t="shared" si="0"/>
        <v>1768.7</v>
      </c>
      <c r="K15" s="53"/>
      <c r="L15" s="36">
        <v>176.75</v>
      </c>
      <c r="M15" s="39">
        <f t="shared" si="1"/>
        <v>1767.5</v>
      </c>
      <c r="N15" s="40">
        <f t="shared" si="2"/>
        <v>-1.2000000000000455</v>
      </c>
      <c r="O15" s="41">
        <f t="shared" si="3"/>
        <v>-6.7846440888790947E-4</v>
      </c>
      <c r="P15" s="35" t="s">
        <v>1482</v>
      </c>
      <c r="Q15" s="35" t="s">
        <v>1488</v>
      </c>
      <c r="R15" s="35">
        <f t="shared" ca="1" si="4"/>
        <v>442.17500000000001</v>
      </c>
      <c r="S15" s="35">
        <f t="shared" ca="1" si="5"/>
        <v>114.96550000000001</v>
      </c>
      <c r="T15" s="35">
        <f t="shared" ca="1" si="6"/>
        <v>265.30500000000001</v>
      </c>
      <c r="U15" s="42"/>
      <c r="V15" s="35">
        <f t="shared" ca="1" si="7"/>
        <v>884.35</v>
      </c>
      <c r="W15" s="43">
        <f t="shared" ca="1" si="8"/>
        <v>161</v>
      </c>
      <c r="X15" s="44" t="str">
        <f t="shared" si="9"/>
        <v>L</v>
      </c>
      <c r="Y15" s="35" t="str">
        <f t="shared" ca="1" si="10"/>
        <v>Wait</v>
      </c>
      <c r="Z15" s="42"/>
      <c r="AA15" s="45">
        <f t="shared" ca="1" si="11"/>
        <v>-619.04499999999996</v>
      </c>
      <c r="AB15" s="50">
        <f t="shared" ca="1" si="12"/>
        <v>79.732996</v>
      </c>
      <c r="AC15" s="47">
        <f t="shared" ca="1" si="13"/>
        <v>1238.0899999999999</v>
      </c>
      <c r="AD15" s="56">
        <f t="shared" ca="1" si="14"/>
        <v>530.61</v>
      </c>
    </row>
    <row r="16" spans="1:30" x14ac:dyDescent="0.35">
      <c r="A16" s="32">
        <v>10</v>
      </c>
      <c r="B16" s="33" t="s">
        <v>1496</v>
      </c>
      <c r="C16" s="33" t="s">
        <v>1479</v>
      </c>
      <c r="D16" s="34" t="s">
        <v>1480</v>
      </c>
      <c r="E16" s="35" t="s">
        <v>1497</v>
      </c>
      <c r="F16" s="36">
        <v>950</v>
      </c>
      <c r="G16" s="36">
        <v>1</v>
      </c>
      <c r="H16" s="37">
        <v>45964</v>
      </c>
      <c r="I16" s="38">
        <v>119.26</v>
      </c>
      <c r="J16" s="39">
        <f t="shared" si="0"/>
        <v>113297</v>
      </c>
      <c r="K16" s="37"/>
      <c r="L16" s="39">
        <v>110.38</v>
      </c>
      <c r="M16" s="39">
        <f t="shared" si="1"/>
        <v>104861</v>
      </c>
      <c r="N16" s="40">
        <f t="shared" si="2"/>
        <v>-8436</v>
      </c>
      <c r="O16" s="41">
        <f t="shared" si="3"/>
        <v>-7.4459164849907764E-2</v>
      </c>
      <c r="P16" s="35" t="s">
        <v>1482</v>
      </c>
      <c r="Q16" s="35" t="s">
        <v>1488</v>
      </c>
      <c r="R16" s="35"/>
      <c r="S16" s="35"/>
      <c r="T16" s="35"/>
      <c r="U16" s="42"/>
      <c r="V16" s="35"/>
      <c r="W16" s="43">
        <f t="shared" ca="1" si="8"/>
        <v>171</v>
      </c>
      <c r="X16" s="44" t="str">
        <f t="shared" si="9"/>
        <v>L</v>
      </c>
      <c r="Y16" s="35" t="str">
        <f t="shared" si="10"/>
        <v>EXIT Immediately</v>
      </c>
      <c r="Z16" s="42"/>
      <c r="AA16" s="45">
        <f t="shared" ca="1" si="11"/>
        <v>-39653.949999999997</v>
      </c>
      <c r="AB16" s="46">
        <f t="shared" ca="1" si="12"/>
        <v>5424.6603599999999</v>
      </c>
      <c r="AC16" s="47">
        <f t="shared" ca="1" si="13"/>
        <v>79307.899999999994</v>
      </c>
      <c r="AD16" s="52">
        <f t="shared" ca="1" si="14"/>
        <v>33989.1</v>
      </c>
    </row>
    <row r="17" spans="1:30" x14ac:dyDescent="0.35">
      <c r="A17" s="57">
        <v>33</v>
      </c>
      <c r="B17" s="33" t="s">
        <v>1496</v>
      </c>
      <c r="C17" s="34" t="s">
        <v>1479</v>
      </c>
      <c r="D17" s="34" t="s">
        <v>1480</v>
      </c>
      <c r="E17" s="58" t="s">
        <v>1498</v>
      </c>
      <c r="F17" s="39">
        <v>15</v>
      </c>
      <c r="G17" s="36">
        <v>1</v>
      </c>
      <c r="H17" s="37">
        <v>45938</v>
      </c>
      <c r="I17" s="38">
        <v>671.65</v>
      </c>
      <c r="J17" s="39">
        <f t="shared" si="0"/>
        <v>10074.75</v>
      </c>
      <c r="K17" s="53"/>
      <c r="L17" s="42">
        <v>614.5</v>
      </c>
      <c r="M17" s="39">
        <f t="shared" si="1"/>
        <v>9217.5</v>
      </c>
      <c r="N17" s="40">
        <f t="shared" si="2"/>
        <v>-857.25</v>
      </c>
      <c r="O17" s="41">
        <f t="shared" si="3"/>
        <v>-8.5088960023821936E-2</v>
      </c>
      <c r="P17" s="35" t="s">
        <v>1482</v>
      </c>
      <c r="Q17" s="35" t="s">
        <v>1488</v>
      </c>
      <c r="R17" s="35">
        <f t="shared" ref="R17:R38" ca="1" si="15">IF(D17="FUTURES",J17*0.01,J17*$R$3)</f>
        <v>2518.6875</v>
      </c>
      <c r="S17" s="35">
        <f t="shared" ref="S17:S38" ca="1" si="16">IF(D17="FUTURES",I17-(I17*0.01),I17-(I17*$S$3))</f>
        <v>436.57249999999999</v>
      </c>
      <c r="T17" s="35">
        <f t="shared" ref="T17:T38" ca="1" si="17">IF(D17="FUTURES",I17+(I17*0.03),I17+(I17*$T$3))</f>
        <v>1007.4749999999999</v>
      </c>
      <c r="U17" s="42"/>
      <c r="V17" s="35">
        <f t="shared" ref="V17:V38" ca="1" si="18">J17*$T$3</f>
        <v>5037.375</v>
      </c>
      <c r="W17" s="44">
        <f t="shared" ca="1" si="8"/>
        <v>197</v>
      </c>
      <c r="X17" s="44" t="str">
        <f t="shared" si="9"/>
        <v>L</v>
      </c>
      <c r="Y17" s="35" t="str">
        <f t="shared" ca="1" si="10"/>
        <v>Wait</v>
      </c>
      <c r="Z17" s="54"/>
      <c r="AA17" s="45">
        <f t="shared" ca="1" si="11"/>
        <v>-3526.1624999999999</v>
      </c>
      <c r="AB17" s="50">
        <f t="shared" ca="1" si="12"/>
        <v>555.72320999999999</v>
      </c>
      <c r="AC17" s="47">
        <f t="shared" ca="1" si="13"/>
        <v>7052.3249999999998</v>
      </c>
      <c r="AD17" s="52">
        <f t="shared" ca="1" si="14"/>
        <v>3022.4249999999997</v>
      </c>
    </row>
    <row r="18" spans="1:30" x14ac:dyDescent="0.35">
      <c r="A18" s="32">
        <v>34</v>
      </c>
      <c r="B18" s="33" t="s">
        <v>1496</v>
      </c>
      <c r="C18" s="34" t="s">
        <v>1479</v>
      </c>
      <c r="D18" s="58" t="s">
        <v>1480</v>
      </c>
      <c r="E18" s="58" t="s">
        <v>1499</v>
      </c>
      <c r="F18" s="39">
        <v>75</v>
      </c>
      <c r="G18" s="36">
        <v>1</v>
      </c>
      <c r="H18" s="53">
        <v>45831</v>
      </c>
      <c r="I18" s="38">
        <v>439</v>
      </c>
      <c r="J18" s="39">
        <f t="shared" si="0"/>
        <v>32925</v>
      </c>
      <c r="K18" s="53"/>
      <c r="L18" s="39">
        <v>386</v>
      </c>
      <c r="M18" s="39">
        <f t="shared" si="1"/>
        <v>28950</v>
      </c>
      <c r="N18" s="40">
        <f t="shared" si="2"/>
        <v>-3975</v>
      </c>
      <c r="O18" s="41">
        <f t="shared" si="3"/>
        <v>-0.12072892938496584</v>
      </c>
      <c r="P18" s="35" t="s">
        <v>1482</v>
      </c>
      <c r="Q18" s="35" t="s">
        <v>1488</v>
      </c>
      <c r="R18" s="35">
        <f t="shared" ca="1" si="15"/>
        <v>8231.25</v>
      </c>
      <c r="S18" s="35">
        <f t="shared" ca="1" si="16"/>
        <v>285.35000000000002</v>
      </c>
      <c r="T18" s="35">
        <f t="shared" ca="1" si="17"/>
        <v>658.5</v>
      </c>
      <c r="U18" s="42"/>
      <c r="V18" s="35">
        <f t="shared" ca="1" si="18"/>
        <v>16462.5</v>
      </c>
      <c r="W18" s="44">
        <f ca="1">IF(Q18="Closed",_xlfn.DAYS(K18,H19),_xlfn.DAYS(TODAY(),H19))</f>
        <v>297</v>
      </c>
      <c r="X18" s="44" t="str">
        <f t="shared" si="9"/>
        <v>L</v>
      </c>
      <c r="Y18" s="35" t="str">
        <f t="shared" ca="1" si="10"/>
        <v>Wait</v>
      </c>
      <c r="Z18" s="54"/>
      <c r="AA18" s="45">
        <f t="shared" ca="1" si="11"/>
        <v>-11523.75</v>
      </c>
      <c r="AB18" s="50">
        <f t="shared" ca="1" si="12"/>
        <v>2802.5760000000005</v>
      </c>
      <c r="AC18" s="47">
        <f t="shared" ca="1" si="13"/>
        <v>23047.5</v>
      </c>
      <c r="AD18" s="52">
        <f t="shared" ca="1" si="14"/>
        <v>9877.5</v>
      </c>
    </row>
    <row r="19" spans="1:30" x14ac:dyDescent="0.35">
      <c r="A19" s="32">
        <v>35</v>
      </c>
      <c r="B19" s="33" t="s">
        <v>1496</v>
      </c>
      <c r="C19" s="34" t="s">
        <v>1479</v>
      </c>
      <c r="D19" s="58" t="s">
        <v>1480</v>
      </c>
      <c r="E19" s="58" t="s">
        <v>1500</v>
      </c>
      <c r="F19" s="39">
        <v>17</v>
      </c>
      <c r="G19" s="36">
        <v>1</v>
      </c>
      <c r="H19" s="37">
        <v>45838</v>
      </c>
      <c r="I19" s="38">
        <v>1562.9</v>
      </c>
      <c r="J19" s="39">
        <f t="shared" si="0"/>
        <v>26569.300000000003</v>
      </c>
      <c r="K19" s="49">
        <v>45973</v>
      </c>
      <c r="L19" s="58">
        <v>1647.5</v>
      </c>
      <c r="M19" s="39">
        <f t="shared" si="1"/>
        <v>28007.5</v>
      </c>
      <c r="N19" s="40">
        <f t="shared" si="2"/>
        <v>1438.1999999999971</v>
      </c>
      <c r="O19" s="41">
        <f t="shared" si="3"/>
        <v>5.4130142683472916E-2</v>
      </c>
      <c r="P19" s="35" t="s">
        <v>1482</v>
      </c>
      <c r="Q19" s="35" t="s">
        <v>1483</v>
      </c>
      <c r="R19" s="35">
        <f t="shared" ca="1" si="15"/>
        <v>6642.3250000000007</v>
      </c>
      <c r="S19" s="35">
        <f t="shared" ca="1" si="16"/>
        <v>1015.8850000000001</v>
      </c>
      <c r="T19" s="35">
        <f t="shared" ca="1" si="17"/>
        <v>2344.3500000000004</v>
      </c>
      <c r="U19" s="42"/>
      <c r="V19" s="35">
        <f t="shared" ca="1" si="18"/>
        <v>13284.650000000001</v>
      </c>
      <c r="W19" s="44">
        <f ca="1">IF(Q19="Closed",_xlfn.DAYS(K19,H20),_xlfn.DAYS(TODAY(),H20))</f>
        <v>51</v>
      </c>
      <c r="X19" s="44" t="str">
        <f t="shared" si="9"/>
        <v>P</v>
      </c>
      <c r="Y19" s="35" t="str">
        <f t="shared" si="10"/>
        <v>No Action</v>
      </c>
      <c r="Z19" s="54"/>
      <c r="AA19" s="45">
        <f t="shared" ca="1" si="11"/>
        <v>-9299.255000000001</v>
      </c>
      <c r="AB19" s="50">
        <f t="shared" ca="1" si="12"/>
        <v>1004.3195400000002</v>
      </c>
      <c r="AC19" s="47">
        <f t="shared" ca="1" si="13"/>
        <v>18598.510000000002</v>
      </c>
      <c r="AD19" s="48">
        <f t="shared" ca="1" si="14"/>
        <v>7970.7900000000009</v>
      </c>
    </row>
    <row r="20" spans="1:30" x14ac:dyDescent="0.35">
      <c r="A20" s="32">
        <v>36</v>
      </c>
      <c r="B20" s="33" t="s">
        <v>1496</v>
      </c>
      <c r="C20" s="34" t="s">
        <v>1479</v>
      </c>
      <c r="D20" s="58" t="s">
        <v>1480</v>
      </c>
      <c r="E20" s="58" t="s">
        <v>1501</v>
      </c>
      <c r="F20" s="39">
        <v>220</v>
      </c>
      <c r="G20" s="36">
        <v>1</v>
      </c>
      <c r="H20" s="37">
        <v>45922</v>
      </c>
      <c r="I20" s="38">
        <v>171.35</v>
      </c>
      <c r="J20" s="39">
        <f t="shared" si="0"/>
        <v>37697</v>
      </c>
      <c r="K20" s="53"/>
      <c r="L20" s="39">
        <v>142.5</v>
      </c>
      <c r="M20" s="39">
        <f t="shared" si="1"/>
        <v>31350</v>
      </c>
      <c r="N20" s="40">
        <f t="shared" si="2"/>
        <v>-6347</v>
      </c>
      <c r="O20" s="41">
        <f t="shared" si="3"/>
        <v>-0.16836883571637001</v>
      </c>
      <c r="P20" s="35" t="s">
        <v>1482</v>
      </c>
      <c r="Q20" s="35" t="s">
        <v>1488</v>
      </c>
      <c r="R20" s="35">
        <f t="shared" ca="1" si="15"/>
        <v>9424.25</v>
      </c>
      <c r="S20" s="35">
        <f t="shared" ca="1" si="16"/>
        <v>111.3775</v>
      </c>
      <c r="T20" s="35">
        <f t="shared" ca="1" si="17"/>
        <v>257.02499999999998</v>
      </c>
      <c r="U20" s="42"/>
      <c r="V20" s="35">
        <f t="shared" ca="1" si="18"/>
        <v>18848.5</v>
      </c>
      <c r="W20" s="44">
        <f t="shared" ref="W20:W38" ca="1" si="19">IF(Q20="Closed",_xlfn.DAYS(K20,H20),_xlfn.DAYS(TODAY(),H20))</f>
        <v>213</v>
      </c>
      <c r="X20" s="44" t="str">
        <f t="shared" si="9"/>
        <v>L</v>
      </c>
      <c r="Y20" s="35" t="str">
        <f t="shared" ca="1" si="10"/>
        <v>Wait</v>
      </c>
      <c r="Z20" s="54"/>
      <c r="AA20" s="45">
        <f t="shared" ca="1" si="11"/>
        <v>-13193.949999999999</v>
      </c>
      <c r="AB20" s="50">
        <f t="shared" ca="1" si="12"/>
        <v>2248.2490799999996</v>
      </c>
      <c r="AC20" s="47">
        <f t="shared" ca="1" si="13"/>
        <v>26387.899999999998</v>
      </c>
      <c r="AD20" s="52">
        <f t="shared" ca="1" si="14"/>
        <v>11309.1</v>
      </c>
    </row>
    <row r="21" spans="1:30" x14ac:dyDescent="0.35">
      <c r="A21" s="32">
        <v>37</v>
      </c>
      <c r="B21" s="33" t="s">
        <v>1496</v>
      </c>
      <c r="C21" s="34" t="s">
        <v>1479</v>
      </c>
      <c r="D21" s="58" t="s">
        <v>1480</v>
      </c>
      <c r="E21" s="58" t="s">
        <v>1502</v>
      </c>
      <c r="F21" s="39">
        <v>120</v>
      </c>
      <c r="G21" s="36">
        <v>1</v>
      </c>
      <c r="H21" s="37">
        <v>45861</v>
      </c>
      <c r="I21" s="38">
        <v>217.63</v>
      </c>
      <c r="J21" s="39">
        <f t="shared" si="0"/>
        <v>26115.599999999999</v>
      </c>
      <c r="K21" s="53"/>
      <c r="L21" s="42">
        <v>185.85</v>
      </c>
      <c r="M21" s="39">
        <f t="shared" si="1"/>
        <v>22302</v>
      </c>
      <c r="N21" s="40">
        <f t="shared" si="2"/>
        <v>-3813.5999999999985</v>
      </c>
      <c r="O21" s="41">
        <f t="shared" si="3"/>
        <v>-0.14602766162753292</v>
      </c>
      <c r="P21" s="35" t="s">
        <v>1482</v>
      </c>
      <c r="Q21" s="35" t="s">
        <v>1488</v>
      </c>
      <c r="R21" s="35">
        <f t="shared" ca="1" si="15"/>
        <v>6528.9</v>
      </c>
      <c r="S21" s="35">
        <f t="shared" ca="1" si="16"/>
        <v>141.45949999999999</v>
      </c>
      <c r="T21" s="35">
        <f t="shared" ca="1" si="17"/>
        <v>326.44499999999999</v>
      </c>
      <c r="U21" s="42"/>
      <c r="V21" s="35">
        <f t="shared" ca="1" si="18"/>
        <v>13057.8</v>
      </c>
      <c r="W21" s="44">
        <f t="shared" ca="1" si="19"/>
        <v>274</v>
      </c>
      <c r="X21" s="44" t="str">
        <f t="shared" si="9"/>
        <v>L</v>
      </c>
      <c r="Y21" s="35" t="str">
        <f t="shared" ca="1" si="10"/>
        <v>Wait</v>
      </c>
      <c r="Z21" s="54"/>
      <c r="AA21" s="45">
        <f t="shared" ca="1" si="11"/>
        <v>-9140.4599999999991</v>
      </c>
      <c r="AB21" s="50">
        <f t="shared" ca="1" si="12"/>
        <v>2003.5888319999999</v>
      </c>
      <c r="AC21" s="47">
        <f t="shared" ca="1" si="13"/>
        <v>18280.919999999998</v>
      </c>
      <c r="AD21" s="52">
        <f t="shared" ca="1" si="14"/>
        <v>7834.6799999999994</v>
      </c>
    </row>
    <row r="22" spans="1:30" x14ac:dyDescent="0.35">
      <c r="A22" s="32">
        <v>38</v>
      </c>
      <c r="B22" s="33" t="s">
        <v>1496</v>
      </c>
      <c r="C22" s="34" t="s">
        <v>1479</v>
      </c>
      <c r="D22" s="58" t="s">
        <v>1480</v>
      </c>
      <c r="E22" s="58" t="s">
        <v>1503</v>
      </c>
      <c r="F22" s="39">
        <v>10</v>
      </c>
      <c r="G22" s="36">
        <v>1</v>
      </c>
      <c r="H22" s="37">
        <v>45820</v>
      </c>
      <c r="I22" s="38">
        <v>582.63</v>
      </c>
      <c r="J22" s="39">
        <f t="shared" si="0"/>
        <v>5826.3</v>
      </c>
      <c r="K22" s="51"/>
      <c r="L22" s="36">
        <v>511.25</v>
      </c>
      <c r="M22" s="39">
        <f t="shared" si="1"/>
        <v>5112.5</v>
      </c>
      <c r="N22" s="40">
        <f t="shared" si="2"/>
        <v>-713.80000000000018</v>
      </c>
      <c r="O22" s="41">
        <f t="shared" si="3"/>
        <v>-0.12251343047903475</v>
      </c>
      <c r="P22" s="35" t="s">
        <v>1482</v>
      </c>
      <c r="Q22" s="35" t="s">
        <v>1488</v>
      </c>
      <c r="R22" s="35">
        <f t="shared" ca="1" si="15"/>
        <v>1456.575</v>
      </c>
      <c r="S22" s="35">
        <f t="shared" ca="1" si="16"/>
        <v>378.70950000000005</v>
      </c>
      <c r="T22" s="35">
        <f t="shared" ca="1" si="17"/>
        <v>873.94499999999994</v>
      </c>
      <c r="U22" s="42"/>
      <c r="V22" s="35">
        <f t="shared" ca="1" si="18"/>
        <v>2913.15</v>
      </c>
      <c r="W22" s="44">
        <f t="shared" ca="1" si="19"/>
        <v>315</v>
      </c>
      <c r="X22" s="44" t="str">
        <f t="shared" si="9"/>
        <v>L</v>
      </c>
      <c r="Y22" s="35" t="str">
        <f t="shared" ca="1" si="10"/>
        <v>Wait</v>
      </c>
      <c r="Z22" s="54"/>
      <c r="AA22" s="45">
        <f t="shared" ca="1" si="11"/>
        <v>-2039.2049999999999</v>
      </c>
      <c r="AB22" s="50">
        <f t="shared" ca="1" si="12"/>
        <v>513.87966000000006</v>
      </c>
      <c r="AC22" s="47">
        <f t="shared" ca="1" si="13"/>
        <v>4078.41</v>
      </c>
      <c r="AD22" s="52">
        <f t="shared" ca="1" si="14"/>
        <v>1747.89</v>
      </c>
    </row>
    <row r="23" spans="1:30" x14ac:dyDescent="0.35">
      <c r="A23" s="32">
        <v>39</v>
      </c>
      <c r="B23" s="33" t="s">
        <v>1496</v>
      </c>
      <c r="C23" s="34" t="s">
        <v>1479</v>
      </c>
      <c r="D23" s="58" t="s">
        <v>1480</v>
      </c>
      <c r="E23" s="58" t="s">
        <v>1504</v>
      </c>
      <c r="F23" s="39">
        <v>5</v>
      </c>
      <c r="G23" s="36">
        <v>1</v>
      </c>
      <c r="H23" s="37">
        <v>45820</v>
      </c>
      <c r="I23" s="38">
        <v>752.4</v>
      </c>
      <c r="J23" s="39">
        <f t="shared" si="0"/>
        <v>3762</v>
      </c>
      <c r="K23" s="51"/>
      <c r="L23" s="36">
        <v>613.04999999999995</v>
      </c>
      <c r="M23" s="39">
        <f t="shared" si="1"/>
        <v>3065.25</v>
      </c>
      <c r="N23" s="40">
        <f t="shared" si="2"/>
        <v>-696.75</v>
      </c>
      <c r="O23" s="41">
        <f t="shared" si="3"/>
        <v>-0.18520733652312599</v>
      </c>
      <c r="P23" s="35" t="s">
        <v>1482</v>
      </c>
      <c r="Q23" s="35" t="s">
        <v>1488</v>
      </c>
      <c r="R23" s="35">
        <f t="shared" ca="1" si="15"/>
        <v>940.5</v>
      </c>
      <c r="S23" s="35">
        <f t="shared" ca="1" si="16"/>
        <v>489.06</v>
      </c>
      <c r="T23" s="35">
        <f t="shared" ca="1" si="17"/>
        <v>1128.5999999999999</v>
      </c>
      <c r="U23" s="42"/>
      <c r="V23" s="35">
        <f t="shared" ca="1" si="18"/>
        <v>1881</v>
      </c>
      <c r="W23" s="44">
        <f t="shared" ca="1" si="19"/>
        <v>315</v>
      </c>
      <c r="X23" s="44" t="str">
        <f t="shared" si="9"/>
        <v>L</v>
      </c>
      <c r="Y23" s="35" t="str">
        <f t="shared" ca="1" si="10"/>
        <v>Wait</v>
      </c>
      <c r="Z23" s="54"/>
      <c r="AA23" s="45">
        <f t="shared" ca="1" si="11"/>
        <v>-1316.6999999999998</v>
      </c>
      <c r="AB23" s="50">
        <f t="shared" ca="1" si="12"/>
        <v>331.80839999999995</v>
      </c>
      <c r="AC23" s="47">
        <f t="shared" ca="1" si="13"/>
        <v>2633.3999999999996</v>
      </c>
      <c r="AD23" s="52">
        <f t="shared" ca="1" si="14"/>
        <v>1128.5999999999999</v>
      </c>
    </row>
    <row r="24" spans="1:30" x14ac:dyDescent="0.35">
      <c r="A24" s="57">
        <v>40</v>
      </c>
      <c r="B24" s="33" t="s">
        <v>1496</v>
      </c>
      <c r="C24" s="34" t="s">
        <v>1479</v>
      </c>
      <c r="D24" s="58" t="s">
        <v>1480</v>
      </c>
      <c r="E24" s="58" t="s">
        <v>1505</v>
      </c>
      <c r="F24" s="39">
        <v>5</v>
      </c>
      <c r="G24" s="36">
        <v>1</v>
      </c>
      <c r="H24" s="37">
        <v>45859</v>
      </c>
      <c r="I24" s="38">
        <v>336</v>
      </c>
      <c r="J24" s="39">
        <f t="shared" si="0"/>
        <v>1680</v>
      </c>
      <c r="K24" s="49">
        <v>45920</v>
      </c>
      <c r="L24" s="36">
        <v>341</v>
      </c>
      <c r="M24" s="39">
        <f t="shared" si="1"/>
        <v>1705</v>
      </c>
      <c r="N24" s="40">
        <f t="shared" si="2"/>
        <v>25</v>
      </c>
      <c r="O24" s="41">
        <f t="shared" si="3"/>
        <v>1.488095238095238E-2</v>
      </c>
      <c r="P24" s="35" t="s">
        <v>1482</v>
      </c>
      <c r="Q24" s="35" t="s">
        <v>1483</v>
      </c>
      <c r="R24" s="35">
        <f t="shared" ca="1" si="15"/>
        <v>420</v>
      </c>
      <c r="S24" s="35">
        <f t="shared" ca="1" si="16"/>
        <v>218.4</v>
      </c>
      <c r="T24" s="35">
        <f t="shared" ca="1" si="17"/>
        <v>504</v>
      </c>
      <c r="U24" s="42"/>
      <c r="V24" s="35">
        <f t="shared" ca="1" si="18"/>
        <v>840</v>
      </c>
      <c r="W24" s="44">
        <f t="shared" ca="1" si="19"/>
        <v>61</v>
      </c>
      <c r="X24" s="44" t="str">
        <f t="shared" si="9"/>
        <v>P</v>
      </c>
      <c r="Y24" s="35" t="str">
        <f t="shared" si="10"/>
        <v>No Action</v>
      </c>
      <c r="Z24" s="54"/>
      <c r="AA24" s="45">
        <f t="shared" ca="1" si="11"/>
        <v>-588</v>
      </c>
      <c r="AB24" s="50">
        <f t="shared" ca="1" si="12"/>
        <v>28.694400000000002</v>
      </c>
      <c r="AC24" s="47">
        <f t="shared" ca="1" si="13"/>
        <v>1176</v>
      </c>
      <c r="AD24" s="48">
        <f t="shared" ca="1" si="14"/>
        <v>504</v>
      </c>
    </row>
    <row r="25" spans="1:30" x14ac:dyDescent="0.35">
      <c r="A25" s="32">
        <v>41</v>
      </c>
      <c r="B25" s="33" t="s">
        <v>1496</v>
      </c>
      <c r="C25" s="34" t="s">
        <v>1479</v>
      </c>
      <c r="D25" s="58" t="s">
        <v>1480</v>
      </c>
      <c r="E25" s="58" t="s">
        <v>1506</v>
      </c>
      <c r="F25" s="39">
        <v>15</v>
      </c>
      <c r="G25" s="36">
        <v>1</v>
      </c>
      <c r="H25" s="37">
        <v>45812</v>
      </c>
      <c r="I25" s="38">
        <v>1016.21</v>
      </c>
      <c r="J25" s="39">
        <f t="shared" si="0"/>
        <v>15243.150000000001</v>
      </c>
      <c r="K25" s="53"/>
      <c r="L25" s="36">
        <v>879.7</v>
      </c>
      <c r="M25" s="39">
        <f t="shared" si="1"/>
        <v>13195.5</v>
      </c>
      <c r="N25" s="40">
        <f t="shared" si="2"/>
        <v>-2047.6500000000015</v>
      </c>
      <c r="O25" s="41">
        <f t="shared" si="3"/>
        <v>-0.13433247065075141</v>
      </c>
      <c r="P25" s="35" t="s">
        <v>1482</v>
      </c>
      <c r="Q25" s="35" t="s">
        <v>1488</v>
      </c>
      <c r="R25" s="35">
        <f t="shared" ca="1" si="15"/>
        <v>3810.7875000000004</v>
      </c>
      <c r="S25" s="35">
        <f t="shared" ca="1" si="16"/>
        <v>660.53650000000005</v>
      </c>
      <c r="T25" s="35">
        <f t="shared" ca="1" si="17"/>
        <v>1524.3150000000001</v>
      </c>
      <c r="U25" s="42"/>
      <c r="V25" s="35">
        <f t="shared" ca="1" si="18"/>
        <v>7621.5750000000007</v>
      </c>
      <c r="W25" s="44">
        <f t="shared" ca="1" si="19"/>
        <v>323</v>
      </c>
      <c r="X25" s="44" t="str">
        <f t="shared" si="9"/>
        <v>L</v>
      </c>
      <c r="Y25" s="35" t="str">
        <f t="shared" ca="1" si="10"/>
        <v>Wait</v>
      </c>
      <c r="Z25" s="54"/>
      <c r="AA25" s="45">
        <f t="shared" ca="1" si="11"/>
        <v>-5335.1025</v>
      </c>
      <c r="AB25" s="50">
        <f t="shared" ca="1" si="12"/>
        <v>1378.5904860000003</v>
      </c>
      <c r="AC25" s="47">
        <f t="shared" ca="1" si="13"/>
        <v>10670.205</v>
      </c>
      <c r="AD25" s="52">
        <f t="shared" ca="1" si="14"/>
        <v>4572.9450000000006</v>
      </c>
    </row>
    <row r="26" spans="1:30" x14ac:dyDescent="0.35">
      <c r="A26" s="32">
        <v>42</v>
      </c>
      <c r="B26" s="33" t="s">
        <v>1496</v>
      </c>
      <c r="C26" s="34" t="s">
        <v>1479</v>
      </c>
      <c r="D26" s="58" t="s">
        <v>1480</v>
      </c>
      <c r="E26" s="58" t="s">
        <v>1507</v>
      </c>
      <c r="F26" s="39">
        <v>200</v>
      </c>
      <c r="G26" s="36">
        <v>1</v>
      </c>
      <c r="H26" s="37">
        <v>45957</v>
      </c>
      <c r="I26" s="38">
        <v>30.26</v>
      </c>
      <c r="J26" s="39">
        <f t="shared" si="0"/>
        <v>6052</v>
      </c>
      <c r="K26" s="53"/>
      <c r="L26" s="36">
        <v>28.26</v>
      </c>
      <c r="M26" s="39">
        <f t="shared" si="1"/>
        <v>5652</v>
      </c>
      <c r="N26" s="40">
        <f t="shared" si="2"/>
        <v>-400</v>
      </c>
      <c r="O26" s="41">
        <f t="shared" si="3"/>
        <v>-6.6093853271645742E-2</v>
      </c>
      <c r="P26" s="35" t="s">
        <v>1482</v>
      </c>
      <c r="Q26" s="35" t="s">
        <v>1488</v>
      </c>
      <c r="R26" s="35">
        <f t="shared" ca="1" si="15"/>
        <v>1513</v>
      </c>
      <c r="S26" s="35">
        <f t="shared" ca="1" si="16"/>
        <v>19.669000000000004</v>
      </c>
      <c r="T26" s="35">
        <f t="shared" ca="1" si="17"/>
        <v>45.39</v>
      </c>
      <c r="U26" s="42"/>
      <c r="V26" s="35">
        <f t="shared" ca="1" si="18"/>
        <v>3026</v>
      </c>
      <c r="W26" s="44">
        <f t="shared" ca="1" si="19"/>
        <v>178</v>
      </c>
      <c r="X26" s="44" t="str">
        <f t="shared" si="9"/>
        <v>L</v>
      </c>
      <c r="Y26" s="35" t="str">
        <f t="shared" ca="1" si="10"/>
        <v>Wait</v>
      </c>
      <c r="Z26" s="54"/>
      <c r="AA26" s="45">
        <f t="shared" ca="1" si="11"/>
        <v>-2118.1999999999998</v>
      </c>
      <c r="AB26" s="50">
        <f t="shared" ca="1" si="12"/>
        <v>301.63167999999996</v>
      </c>
      <c r="AC26" s="47">
        <f t="shared" ca="1" si="13"/>
        <v>4236.3999999999996</v>
      </c>
      <c r="AD26" s="52">
        <f t="shared" ca="1" si="14"/>
        <v>1815.6</v>
      </c>
    </row>
    <row r="27" spans="1:30" x14ac:dyDescent="0.35">
      <c r="A27" s="59">
        <v>1</v>
      </c>
      <c r="B27" s="32" t="s">
        <v>1508</v>
      </c>
      <c r="C27" s="32" t="s">
        <v>1509</v>
      </c>
      <c r="D27" s="33" t="s">
        <v>1510</v>
      </c>
      <c r="E27" s="42" t="s">
        <v>1511</v>
      </c>
      <c r="F27" s="39">
        <v>625</v>
      </c>
      <c r="G27" s="36"/>
      <c r="H27" s="49">
        <v>45988</v>
      </c>
      <c r="I27" s="38">
        <f t="shared" ref="I27:I38" si="20">J27/F27</f>
        <v>31.9</v>
      </c>
      <c r="J27" s="60">
        <v>19937.5</v>
      </c>
      <c r="K27" s="49">
        <v>46021</v>
      </c>
      <c r="L27" s="42">
        <f t="shared" ref="L27:L38" si="21">M27/F27</f>
        <v>0</v>
      </c>
      <c r="M27" s="39">
        <v>0</v>
      </c>
      <c r="N27" s="40">
        <f t="shared" si="2"/>
        <v>-19937.5</v>
      </c>
      <c r="O27" s="41">
        <f t="shared" si="3"/>
        <v>-1</v>
      </c>
      <c r="P27" s="35" t="s">
        <v>1492</v>
      </c>
      <c r="Q27" s="35" t="s">
        <v>1483</v>
      </c>
      <c r="R27" s="35">
        <f t="shared" ca="1" si="15"/>
        <v>4984.375</v>
      </c>
      <c r="S27" s="35">
        <f t="shared" ca="1" si="16"/>
        <v>20.734999999999999</v>
      </c>
      <c r="T27" s="35">
        <f t="shared" ca="1" si="17"/>
        <v>47.849999999999994</v>
      </c>
      <c r="U27" s="42"/>
      <c r="V27" s="35">
        <f t="shared" ca="1" si="18"/>
        <v>9968.75</v>
      </c>
      <c r="W27" s="44">
        <f t="shared" ca="1" si="19"/>
        <v>33</v>
      </c>
      <c r="X27" s="44" t="str">
        <f t="shared" si="9"/>
        <v>L</v>
      </c>
      <c r="Y27" s="35" t="str">
        <f t="shared" si="10"/>
        <v>No Action</v>
      </c>
      <c r="Z27" s="54"/>
      <c r="AA27" s="45">
        <f t="shared" ca="1" si="11"/>
        <v>-6978.125</v>
      </c>
      <c r="AB27" s="50">
        <f t="shared" ca="1" si="12"/>
        <v>0</v>
      </c>
      <c r="AC27" s="47">
        <f t="shared" si="13"/>
        <v>0</v>
      </c>
      <c r="AD27" s="61">
        <f t="shared" si="14"/>
        <v>0</v>
      </c>
    </row>
    <row r="28" spans="1:30" x14ac:dyDescent="0.35">
      <c r="A28" s="59">
        <v>2</v>
      </c>
      <c r="B28" s="32" t="s">
        <v>1508</v>
      </c>
      <c r="C28" s="32" t="s">
        <v>1509</v>
      </c>
      <c r="D28" s="33" t="s">
        <v>1510</v>
      </c>
      <c r="E28" s="42" t="s">
        <v>1512</v>
      </c>
      <c r="F28" s="39">
        <v>750</v>
      </c>
      <c r="G28" s="36"/>
      <c r="H28" s="49">
        <v>45992</v>
      </c>
      <c r="I28" s="38">
        <f t="shared" si="20"/>
        <v>25.75</v>
      </c>
      <c r="J28" s="60">
        <v>19312.5</v>
      </c>
      <c r="K28" s="49">
        <v>45996</v>
      </c>
      <c r="L28" s="42">
        <f t="shared" si="21"/>
        <v>36.299999999999997</v>
      </c>
      <c r="M28" s="39">
        <v>27225</v>
      </c>
      <c r="N28" s="40">
        <f t="shared" si="2"/>
        <v>7912.5</v>
      </c>
      <c r="O28" s="41">
        <f t="shared" si="3"/>
        <v>0.40970873786407769</v>
      </c>
      <c r="P28" s="35" t="s">
        <v>1492</v>
      </c>
      <c r="Q28" s="35" t="s">
        <v>1483</v>
      </c>
      <c r="R28" s="35">
        <f t="shared" ca="1" si="15"/>
        <v>4828.125</v>
      </c>
      <c r="S28" s="35">
        <f t="shared" ca="1" si="16"/>
        <v>16.737500000000001</v>
      </c>
      <c r="T28" s="35">
        <f t="shared" ca="1" si="17"/>
        <v>38.625</v>
      </c>
      <c r="U28" s="42"/>
      <c r="V28" s="35">
        <f t="shared" ca="1" si="18"/>
        <v>9656.25</v>
      </c>
      <c r="W28" s="44">
        <f t="shared" ca="1" si="19"/>
        <v>4</v>
      </c>
      <c r="X28" s="44" t="str">
        <f t="shared" si="9"/>
        <v>P</v>
      </c>
      <c r="Y28" s="35" t="str">
        <f t="shared" si="10"/>
        <v>No Action</v>
      </c>
      <c r="Z28" s="54"/>
      <c r="AA28" s="45">
        <f t="shared" ca="1" si="11"/>
        <v>-6759.375</v>
      </c>
      <c r="AB28" s="50">
        <f t="shared" ca="1" si="12"/>
        <v>0</v>
      </c>
      <c r="AC28" s="47">
        <f t="shared" si="13"/>
        <v>0</v>
      </c>
      <c r="AD28" s="61">
        <f t="shared" si="14"/>
        <v>0</v>
      </c>
    </row>
    <row r="29" spans="1:30" x14ac:dyDescent="0.35">
      <c r="A29" s="59">
        <v>3</v>
      </c>
      <c r="B29" s="32" t="s">
        <v>1508</v>
      </c>
      <c r="C29" s="32" t="s">
        <v>1509</v>
      </c>
      <c r="D29" s="33" t="s">
        <v>1510</v>
      </c>
      <c r="E29" s="42" t="s">
        <v>1513</v>
      </c>
      <c r="F29" s="39">
        <v>675</v>
      </c>
      <c r="G29" s="36"/>
      <c r="H29" s="49">
        <v>45992</v>
      </c>
      <c r="I29" s="38">
        <f t="shared" si="20"/>
        <v>1000.2</v>
      </c>
      <c r="J29" s="60">
        <v>675135</v>
      </c>
      <c r="K29" s="49">
        <v>45992</v>
      </c>
      <c r="L29" s="42">
        <f t="shared" si="21"/>
        <v>1006.35</v>
      </c>
      <c r="M29" s="39">
        <v>679286.25</v>
      </c>
      <c r="N29" s="40">
        <f t="shared" si="2"/>
        <v>4151.25</v>
      </c>
      <c r="O29" s="41">
        <f t="shared" si="3"/>
        <v>6.1487702459508096E-3</v>
      </c>
      <c r="P29" s="35" t="s">
        <v>1492</v>
      </c>
      <c r="Q29" s="35" t="s">
        <v>1483</v>
      </c>
      <c r="R29" s="35">
        <f t="shared" ca="1" si="15"/>
        <v>168783.75</v>
      </c>
      <c r="S29" s="35">
        <f t="shared" ca="1" si="16"/>
        <v>650.13000000000011</v>
      </c>
      <c r="T29" s="35">
        <f t="shared" ca="1" si="17"/>
        <v>1500.3000000000002</v>
      </c>
      <c r="U29" s="42"/>
      <c r="V29" s="35">
        <f t="shared" ca="1" si="18"/>
        <v>337567.5</v>
      </c>
      <c r="W29" s="44">
        <f t="shared" ca="1" si="19"/>
        <v>0</v>
      </c>
      <c r="X29" s="44" t="str">
        <f t="shared" si="9"/>
        <v>P</v>
      </c>
      <c r="Y29" s="35" t="str">
        <f t="shared" si="10"/>
        <v>No Action</v>
      </c>
      <c r="Z29" s="54"/>
      <c r="AA29" s="45">
        <f t="shared" ca="1" si="11"/>
        <v>-236297.24999999997</v>
      </c>
      <c r="AB29" s="50">
        <f t="shared" ca="1" si="12"/>
        <v>0</v>
      </c>
      <c r="AC29" s="47">
        <f t="shared" si="13"/>
        <v>0</v>
      </c>
      <c r="AD29" s="61">
        <f t="shared" si="14"/>
        <v>0</v>
      </c>
    </row>
    <row r="30" spans="1:30" x14ac:dyDescent="0.35">
      <c r="A30" s="59">
        <v>4</v>
      </c>
      <c r="B30" s="32" t="s">
        <v>1508</v>
      </c>
      <c r="C30" s="32" t="s">
        <v>1509</v>
      </c>
      <c r="D30" s="33" t="s">
        <v>1514</v>
      </c>
      <c r="E30" s="42" t="s">
        <v>1515</v>
      </c>
      <c r="F30" s="39">
        <v>75</v>
      </c>
      <c r="G30" s="36"/>
      <c r="H30" s="49">
        <v>45993</v>
      </c>
      <c r="I30" s="38">
        <f t="shared" si="20"/>
        <v>9131</v>
      </c>
      <c r="J30" s="60">
        <v>684825</v>
      </c>
      <c r="K30" s="49">
        <v>46013</v>
      </c>
      <c r="L30" s="42">
        <f t="shared" si="21"/>
        <v>9160</v>
      </c>
      <c r="M30" s="39">
        <v>687000</v>
      </c>
      <c r="N30" s="40">
        <f t="shared" si="2"/>
        <v>2175</v>
      </c>
      <c r="O30" s="41">
        <f t="shared" si="3"/>
        <v>3.1759938670463256E-3</v>
      </c>
      <c r="P30" s="35" t="s">
        <v>1492</v>
      </c>
      <c r="Q30" s="35" t="s">
        <v>1483</v>
      </c>
      <c r="R30" s="35">
        <f t="shared" si="15"/>
        <v>6848.25</v>
      </c>
      <c r="S30" s="35">
        <f t="shared" si="16"/>
        <v>9039.69</v>
      </c>
      <c r="T30" s="35">
        <f t="shared" si="17"/>
        <v>9404.93</v>
      </c>
      <c r="U30" s="42"/>
      <c r="V30" s="35">
        <f t="shared" ca="1" si="18"/>
        <v>342412.5</v>
      </c>
      <c r="W30" s="44">
        <f t="shared" ca="1" si="19"/>
        <v>20</v>
      </c>
      <c r="X30" s="44" t="str">
        <f t="shared" si="9"/>
        <v>P</v>
      </c>
      <c r="Y30" s="35" t="str">
        <f t="shared" si="10"/>
        <v>No Action</v>
      </c>
      <c r="Z30" s="54"/>
      <c r="AA30" s="45">
        <f t="shared" si="11"/>
        <v>-6848.25</v>
      </c>
      <c r="AB30" s="50">
        <f t="shared" ca="1" si="12"/>
        <v>0</v>
      </c>
      <c r="AC30" s="47">
        <f t="shared" si="13"/>
        <v>0</v>
      </c>
      <c r="AD30" s="61">
        <f t="shared" si="14"/>
        <v>0</v>
      </c>
    </row>
    <row r="31" spans="1:30" x14ac:dyDescent="0.35">
      <c r="A31" s="59">
        <v>5</v>
      </c>
      <c r="B31" s="32" t="s">
        <v>1508</v>
      </c>
      <c r="C31" s="32" t="s">
        <v>1509</v>
      </c>
      <c r="D31" s="33" t="s">
        <v>1510</v>
      </c>
      <c r="E31" s="42" t="s">
        <v>1516</v>
      </c>
      <c r="F31" s="39">
        <v>675</v>
      </c>
      <c r="G31" s="36"/>
      <c r="H31" s="49">
        <v>45993</v>
      </c>
      <c r="I31" s="38">
        <f t="shared" si="20"/>
        <v>34.950000000000003</v>
      </c>
      <c r="J31" s="60">
        <v>23591.25</v>
      </c>
      <c r="K31" s="49">
        <v>46017</v>
      </c>
      <c r="L31" s="42">
        <f t="shared" si="21"/>
        <v>17.5</v>
      </c>
      <c r="M31" s="39">
        <v>11812.5</v>
      </c>
      <c r="N31" s="40">
        <f t="shared" si="2"/>
        <v>-11778.75</v>
      </c>
      <c r="O31" s="41">
        <f t="shared" si="3"/>
        <v>-0.49928469241773965</v>
      </c>
      <c r="P31" s="35" t="s">
        <v>1492</v>
      </c>
      <c r="Q31" s="35" t="s">
        <v>1483</v>
      </c>
      <c r="R31" s="35">
        <f t="shared" ca="1" si="15"/>
        <v>5897.8125</v>
      </c>
      <c r="S31" s="35">
        <f t="shared" ca="1" si="16"/>
        <v>22.717500000000001</v>
      </c>
      <c r="T31" s="35">
        <f t="shared" ca="1" si="17"/>
        <v>52.425000000000004</v>
      </c>
      <c r="U31" s="42"/>
      <c r="V31" s="35">
        <f t="shared" ca="1" si="18"/>
        <v>11795.625</v>
      </c>
      <c r="W31" s="44">
        <f t="shared" ca="1" si="19"/>
        <v>24</v>
      </c>
      <c r="X31" s="44" t="str">
        <f t="shared" si="9"/>
        <v>L</v>
      </c>
      <c r="Y31" s="35" t="str">
        <f t="shared" si="10"/>
        <v>No Action</v>
      </c>
      <c r="Z31" s="54"/>
      <c r="AA31" s="45">
        <f t="shared" ca="1" si="11"/>
        <v>-8256.9375</v>
      </c>
      <c r="AB31" s="50">
        <f t="shared" ca="1" si="12"/>
        <v>0</v>
      </c>
      <c r="AC31" s="47">
        <f t="shared" si="13"/>
        <v>0</v>
      </c>
      <c r="AD31" s="61">
        <f t="shared" si="14"/>
        <v>0</v>
      </c>
    </row>
    <row r="32" spans="1:30" x14ac:dyDescent="0.35">
      <c r="A32" s="59">
        <v>6</v>
      </c>
      <c r="B32" s="32" t="s">
        <v>1508</v>
      </c>
      <c r="C32" s="32" t="s">
        <v>1509</v>
      </c>
      <c r="D32" s="33" t="s">
        <v>1510</v>
      </c>
      <c r="E32" s="42" t="s">
        <v>1517</v>
      </c>
      <c r="F32" s="39">
        <v>1225</v>
      </c>
      <c r="G32" s="36"/>
      <c r="H32" s="49">
        <v>45993</v>
      </c>
      <c r="I32" s="38">
        <f t="shared" si="20"/>
        <v>17.2</v>
      </c>
      <c r="J32" s="60">
        <v>21070</v>
      </c>
      <c r="K32" s="49">
        <v>45994</v>
      </c>
      <c r="L32" s="42">
        <f t="shared" si="21"/>
        <v>21</v>
      </c>
      <c r="M32" s="39">
        <v>25725</v>
      </c>
      <c r="N32" s="40">
        <f t="shared" si="2"/>
        <v>4655</v>
      </c>
      <c r="O32" s="41">
        <f t="shared" si="3"/>
        <v>0.22093023255813954</v>
      </c>
      <c r="P32" s="35" t="s">
        <v>1492</v>
      </c>
      <c r="Q32" s="35" t="s">
        <v>1483</v>
      </c>
      <c r="R32" s="35">
        <f t="shared" ca="1" si="15"/>
        <v>5267.5</v>
      </c>
      <c r="S32" s="35">
        <f t="shared" ca="1" si="16"/>
        <v>11.18</v>
      </c>
      <c r="T32" s="35">
        <f t="shared" ca="1" si="17"/>
        <v>25.799999999999997</v>
      </c>
      <c r="U32" s="42"/>
      <c r="V32" s="35">
        <f t="shared" ca="1" si="18"/>
        <v>10535</v>
      </c>
      <c r="W32" s="44">
        <f t="shared" ca="1" si="19"/>
        <v>1</v>
      </c>
      <c r="X32" s="44" t="str">
        <f t="shared" si="9"/>
        <v>P</v>
      </c>
      <c r="Y32" s="35" t="str">
        <f t="shared" si="10"/>
        <v>No Action</v>
      </c>
      <c r="Z32" s="54"/>
      <c r="AA32" s="45">
        <f t="shared" ca="1" si="11"/>
        <v>-7374.4999999999991</v>
      </c>
      <c r="AB32" s="50">
        <f t="shared" ca="1" si="12"/>
        <v>0</v>
      </c>
      <c r="AC32" s="47">
        <f t="shared" si="13"/>
        <v>0</v>
      </c>
      <c r="AD32" s="61">
        <f t="shared" si="14"/>
        <v>0</v>
      </c>
    </row>
    <row r="33" spans="1:30" x14ac:dyDescent="0.35">
      <c r="A33" s="59">
        <v>7</v>
      </c>
      <c r="B33" s="32" t="s">
        <v>1508</v>
      </c>
      <c r="C33" s="32" t="s">
        <v>1509</v>
      </c>
      <c r="D33" s="33" t="s">
        <v>1510</v>
      </c>
      <c r="E33" s="42" t="s">
        <v>1518</v>
      </c>
      <c r="F33" s="39">
        <v>325</v>
      </c>
      <c r="G33" s="36"/>
      <c r="H33" s="49">
        <v>45993</v>
      </c>
      <c r="I33" s="38">
        <f t="shared" si="20"/>
        <v>47</v>
      </c>
      <c r="J33" s="60">
        <v>15275</v>
      </c>
      <c r="K33" s="49">
        <v>45995</v>
      </c>
      <c r="L33" s="42">
        <f t="shared" si="21"/>
        <v>49.5</v>
      </c>
      <c r="M33" s="39">
        <v>16087.5</v>
      </c>
      <c r="N33" s="40">
        <f t="shared" si="2"/>
        <v>812.5</v>
      </c>
      <c r="O33" s="41">
        <f t="shared" si="3"/>
        <v>5.3191489361702128E-2</v>
      </c>
      <c r="P33" s="35" t="s">
        <v>1492</v>
      </c>
      <c r="Q33" s="35" t="s">
        <v>1483</v>
      </c>
      <c r="R33" s="35">
        <f t="shared" ca="1" si="15"/>
        <v>3818.75</v>
      </c>
      <c r="S33" s="35">
        <f t="shared" ca="1" si="16"/>
        <v>30.55</v>
      </c>
      <c r="T33" s="35">
        <f t="shared" ca="1" si="17"/>
        <v>70.5</v>
      </c>
      <c r="U33" s="42"/>
      <c r="V33" s="35">
        <f t="shared" ca="1" si="18"/>
        <v>7637.5</v>
      </c>
      <c r="W33" s="44">
        <f t="shared" ca="1" si="19"/>
        <v>2</v>
      </c>
      <c r="X33" s="44" t="str">
        <f t="shared" si="9"/>
        <v>P</v>
      </c>
      <c r="Y33" s="35" t="str">
        <f t="shared" si="10"/>
        <v>No Action</v>
      </c>
      <c r="Z33" s="54"/>
      <c r="AA33" s="45">
        <f t="shared" ca="1" si="11"/>
        <v>-5346.25</v>
      </c>
      <c r="AB33" s="50">
        <f t="shared" ca="1" si="12"/>
        <v>0</v>
      </c>
      <c r="AC33" s="47">
        <f t="shared" si="13"/>
        <v>0</v>
      </c>
      <c r="AD33" s="61">
        <f t="shared" si="14"/>
        <v>0</v>
      </c>
    </row>
    <row r="34" spans="1:30" x14ac:dyDescent="0.35">
      <c r="A34" s="59">
        <v>8</v>
      </c>
      <c r="B34" s="32" t="s">
        <v>1508</v>
      </c>
      <c r="C34" s="32" t="s">
        <v>1509</v>
      </c>
      <c r="D34" s="33" t="s">
        <v>1510</v>
      </c>
      <c r="E34" s="42" t="s">
        <v>1519</v>
      </c>
      <c r="F34" s="39">
        <v>1425</v>
      </c>
      <c r="G34" s="36"/>
      <c r="H34" s="49">
        <v>45995</v>
      </c>
      <c r="I34" s="38">
        <f t="shared" si="20"/>
        <v>9.75</v>
      </c>
      <c r="J34" s="60">
        <v>13893.75</v>
      </c>
      <c r="K34" s="49">
        <v>45995</v>
      </c>
      <c r="L34" s="42">
        <f t="shared" si="21"/>
        <v>10.95</v>
      </c>
      <c r="M34" s="39">
        <v>15603.75</v>
      </c>
      <c r="N34" s="40">
        <f t="shared" si="2"/>
        <v>1710</v>
      </c>
      <c r="O34" s="41">
        <f t="shared" si="3"/>
        <v>0.12307692307692308</v>
      </c>
      <c r="P34" s="35" t="s">
        <v>1492</v>
      </c>
      <c r="Q34" s="35" t="s">
        <v>1483</v>
      </c>
      <c r="R34" s="35">
        <f t="shared" ca="1" si="15"/>
        <v>3473.4375</v>
      </c>
      <c r="S34" s="35">
        <f t="shared" ca="1" si="16"/>
        <v>6.3375000000000004</v>
      </c>
      <c r="T34" s="35">
        <f t="shared" ca="1" si="17"/>
        <v>14.625</v>
      </c>
      <c r="U34" s="42"/>
      <c r="V34" s="35">
        <f t="shared" ca="1" si="18"/>
        <v>6946.875</v>
      </c>
      <c r="W34" s="44">
        <f t="shared" ca="1" si="19"/>
        <v>0</v>
      </c>
      <c r="X34" s="44" t="str">
        <f t="shared" si="9"/>
        <v>P</v>
      </c>
      <c r="Y34" s="35" t="str">
        <f t="shared" si="10"/>
        <v>No Action</v>
      </c>
      <c r="Z34" s="54"/>
      <c r="AA34" s="45">
        <f t="shared" ca="1" si="11"/>
        <v>-4862.8125</v>
      </c>
      <c r="AB34" s="50">
        <f t="shared" ca="1" si="12"/>
        <v>0</v>
      </c>
      <c r="AC34" s="47">
        <f t="shared" si="13"/>
        <v>0</v>
      </c>
      <c r="AD34" s="61">
        <f t="shared" si="14"/>
        <v>0</v>
      </c>
    </row>
    <row r="35" spans="1:30" x14ac:dyDescent="0.35">
      <c r="A35" s="59">
        <v>9</v>
      </c>
      <c r="B35" s="32" t="s">
        <v>1508</v>
      </c>
      <c r="C35" s="32" t="s">
        <v>1509</v>
      </c>
      <c r="D35" s="33" t="s">
        <v>1510</v>
      </c>
      <c r="E35" s="42" t="s">
        <v>1520</v>
      </c>
      <c r="F35" s="39">
        <v>50</v>
      </c>
      <c r="G35" s="36"/>
      <c r="H35" s="49">
        <v>45996</v>
      </c>
      <c r="I35" s="38">
        <f t="shared" si="20"/>
        <v>200</v>
      </c>
      <c r="J35" s="60">
        <v>10000</v>
      </c>
      <c r="K35" s="49">
        <v>46003</v>
      </c>
      <c r="L35" s="42">
        <f t="shared" si="21"/>
        <v>208.7</v>
      </c>
      <c r="M35" s="39">
        <v>10435</v>
      </c>
      <c r="N35" s="40">
        <f t="shared" si="2"/>
        <v>435</v>
      </c>
      <c r="O35" s="41">
        <f t="shared" si="3"/>
        <v>4.3499999999999997E-2</v>
      </c>
      <c r="P35" s="35" t="s">
        <v>1492</v>
      </c>
      <c r="Q35" s="35" t="s">
        <v>1483</v>
      </c>
      <c r="R35" s="35">
        <f t="shared" ca="1" si="15"/>
        <v>2500</v>
      </c>
      <c r="S35" s="35">
        <f t="shared" ca="1" si="16"/>
        <v>130</v>
      </c>
      <c r="T35" s="35">
        <f t="shared" ca="1" si="17"/>
        <v>300</v>
      </c>
      <c r="U35" s="42"/>
      <c r="V35" s="35">
        <f t="shared" ca="1" si="18"/>
        <v>5000</v>
      </c>
      <c r="W35" s="44">
        <f t="shared" ca="1" si="19"/>
        <v>7</v>
      </c>
      <c r="X35" s="44" t="str">
        <f t="shared" si="9"/>
        <v>P</v>
      </c>
      <c r="Y35" s="35" t="str">
        <f t="shared" si="10"/>
        <v>No Action</v>
      </c>
      <c r="Z35" s="54"/>
      <c r="AA35" s="45">
        <f t="shared" ca="1" si="11"/>
        <v>-3500</v>
      </c>
      <c r="AB35" s="50">
        <f t="shared" ca="1" si="12"/>
        <v>0</v>
      </c>
      <c r="AC35" s="47">
        <f t="shared" si="13"/>
        <v>0</v>
      </c>
      <c r="AD35" s="61">
        <f t="shared" si="14"/>
        <v>0</v>
      </c>
    </row>
    <row r="36" spans="1:30" x14ac:dyDescent="0.35">
      <c r="A36" s="59">
        <v>10</v>
      </c>
      <c r="B36" s="32" t="s">
        <v>1508</v>
      </c>
      <c r="C36" s="32" t="s">
        <v>1509</v>
      </c>
      <c r="D36" s="33" t="s">
        <v>1510</v>
      </c>
      <c r="E36" s="42" t="s">
        <v>1512</v>
      </c>
      <c r="F36" s="39">
        <v>750</v>
      </c>
      <c r="G36" s="36"/>
      <c r="H36" s="49">
        <v>45999</v>
      </c>
      <c r="I36" s="38">
        <f t="shared" si="20"/>
        <v>18</v>
      </c>
      <c r="J36" s="60">
        <v>13500</v>
      </c>
      <c r="K36" s="49">
        <v>46021</v>
      </c>
      <c r="L36" s="42">
        <f t="shared" si="21"/>
        <v>0</v>
      </c>
      <c r="M36" s="39">
        <v>0</v>
      </c>
      <c r="N36" s="40">
        <f t="shared" si="2"/>
        <v>-13500</v>
      </c>
      <c r="O36" s="41">
        <f t="shared" si="3"/>
        <v>-1</v>
      </c>
      <c r="P36" s="35" t="s">
        <v>1492</v>
      </c>
      <c r="Q36" s="35" t="s">
        <v>1483</v>
      </c>
      <c r="R36" s="35">
        <f t="shared" ca="1" si="15"/>
        <v>3375</v>
      </c>
      <c r="S36" s="35">
        <f t="shared" ca="1" si="16"/>
        <v>11.7</v>
      </c>
      <c r="T36" s="35">
        <f t="shared" ca="1" si="17"/>
        <v>27</v>
      </c>
      <c r="U36" s="42"/>
      <c r="V36" s="35">
        <f t="shared" ca="1" si="18"/>
        <v>6750</v>
      </c>
      <c r="W36" s="44">
        <f t="shared" ca="1" si="19"/>
        <v>22</v>
      </c>
      <c r="X36" s="44" t="str">
        <f t="shared" si="9"/>
        <v>L</v>
      </c>
      <c r="Y36" s="35" t="str">
        <f t="shared" si="10"/>
        <v>No Action</v>
      </c>
      <c r="Z36" s="54"/>
      <c r="AA36" s="45">
        <f t="shared" ca="1" si="11"/>
        <v>-4725</v>
      </c>
      <c r="AB36" s="50">
        <f t="shared" ca="1" si="12"/>
        <v>0</v>
      </c>
      <c r="AC36" s="47">
        <f t="shared" si="13"/>
        <v>0</v>
      </c>
      <c r="AD36" s="61">
        <f t="shared" si="14"/>
        <v>0</v>
      </c>
    </row>
    <row r="37" spans="1:30" x14ac:dyDescent="0.35">
      <c r="A37" s="59">
        <v>11</v>
      </c>
      <c r="B37" s="32" t="s">
        <v>1508</v>
      </c>
      <c r="C37" s="32" t="s">
        <v>1509</v>
      </c>
      <c r="D37" s="33" t="s">
        <v>1510</v>
      </c>
      <c r="E37" s="42" t="s">
        <v>859</v>
      </c>
      <c r="F37" s="39">
        <v>75</v>
      </c>
      <c r="G37" s="36"/>
      <c r="H37" s="49">
        <v>45999</v>
      </c>
      <c r="I37" s="38">
        <f t="shared" si="20"/>
        <v>197.05</v>
      </c>
      <c r="J37" s="60">
        <v>14778.75</v>
      </c>
      <c r="K37" s="49">
        <v>46007</v>
      </c>
      <c r="L37" s="42">
        <f t="shared" si="21"/>
        <v>0</v>
      </c>
      <c r="M37" s="39">
        <v>0</v>
      </c>
      <c r="N37" s="40">
        <f t="shared" si="2"/>
        <v>-14778.75</v>
      </c>
      <c r="O37" s="41">
        <f t="shared" si="3"/>
        <v>-1</v>
      </c>
      <c r="P37" s="35" t="s">
        <v>1492</v>
      </c>
      <c r="Q37" s="35" t="s">
        <v>1483</v>
      </c>
      <c r="R37" s="35">
        <f t="shared" ca="1" si="15"/>
        <v>3694.6875</v>
      </c>
      <c r="S37" s="35">
        <f t="shared" ca="1" si="16"/>
        <v>128.08250000000001</v>
      </c>
      <c r="T37" s="35">
        <f t="shared" ca="1" si="17"/>
        <v>295.57500000000005</v>
      </c>
      <c r="U37" s="42"/>
      <c r="V37" s="35">
        <f t="shared" ca="1" si="18"/>
        <v>7389.375</v>
      </c>
      <c r="W37" s="44">
        <f t="shared" ca="1" si="19"/>
        <v>8</v>
      </c>
      <c r="X37" s="44" t="str">
        <f t="shared" si="9"/>
        <v>L</v>
      </c>
      <c r="Y37" s="35" t="str">
        <f t="shared" si="10"/>
        <v>No Action</v>
      </c>
      <c r="Z37" s="54"/>
      <c r="AA37" s="45">
        <f t="shared" ca="1" si="11"/>
        <v>-5172.5625</v>
      </c>
      <c r="AB37" s="50">
        <f t="shared" ca="1" si="12"/>
        <v>0</v>
      </c>
      <c r="AC37" s="47">
        <f t="shared" si="13"/>
        <v>0</v>
      </c>
      <c r="AD37" s="61">
        <f t="shared" si="14"/>
        <v>0</v>
      </c>
    </row>
    <row r="38" spans="1:30" x14ac:dyDescent="0.35">
      <c r="A38" s="59">
        <v>12</v>
      </c>
      <c r="B38" s="32" t="s">
        <v>1508</v>
      </c>
      <c r="C38" s="32" t="s">
        <v>1509</v>
      </c>
      <c r="D38" s="33" t="s">
        <v>1510</v>
      </c>
      <c r="E38" s="42" t="s">
        <v>1521</v>
      </c>
      <c r="F38" s="39">
        <v>75</v>
      </c>
      <c r="G38" s="36"/>
      <c r="H38" s="49">
        <v>46000</v>
      </c>
      <c r="I38" s="38">
        <f t="shared" si="20"/>
        <v>28.3</v>
      </c>
      <c r="J38" s="60">
        <v>2122.5</v>
      </c>
      <c r="K38" s="49">
        <v>46000</v>
      </c>
      <c r="L38" s="42">
        <f t="shared" si="21"/>
        <v>19.899999999999999</v>
      </c>
      <c r="M38" s="39">
        <v>1492.5</v>
      </c>
      <c r="N38" s="40">
        <f t="shared" si="2"/>
        <v>-630</v>
      </c>
      <c r="O38" s="41">
        <f t="shared" si="3"/>
        <v>-0.29681978798586572</v>
      </c>
      <c r="P38" s="35" t="s">
        <v>1492</v>
      </c>
      <c r="Q38" s="35" t="s">
        <v>1483</v>
      </c>
      <c r="R38" s="35">
        <f t="shared" ca="1" si="15"/>
        <v>530.625</v>
      </c>
      <c r="S38" s="35">
        <f t="shared" ca="1" si="16"/>
        <v>18.395000000000003</v>
      </c>
      <c r="T38" s="35">
        <f t="shared" ca="1" si="17"/>
        <v>42.45</v>
      </c>
      <c r="U38" s="42"/>
      <c r="V38" s="35">
        <f t="shared" ca="1" si="18"/>
        <v>1061.25</v>
      </c>
      <c r="W38" s="44">
        <f t="shared" ca="1" si="19"/>
        <v>0</v>
      </c>
      <c r="X38" s="44" t="str">
        <f t="shared" si="9"/>
        <v>L</v>
      </c>
      <c r="Y38" s="35" t="str">
        <f t="shared" si="10"/>
        <v>No Action</v>
      </c>
      <c r="Z38" s="54"/>
      <c r="AA38" s="45">
        <f t="shared" ca="1" si="11"/>
        <v>-742.875</v>
      </c>
      <c r="AB38" s="50">
        <f t="shared" ca="1" si="12"/>
        <v>0</v>
      </c>
      <c r="AC38" s="47">
        <f t="shared" si="13"/>
        <v>0</v>
      </c>
      <c r="AD38" s="61">
        <f t="shared" si="14"/>
        <v>0</v>
      </c>
    </row>
  </sheetData>
  <mergeCells count="1">
    <mergeCell ref="A1:O1"/>
  </mergeCells>
  <conditionalFormatting sqref="N3:O38">
    <cfRule type="cellIs" dxfId="7" priority="5" operator="lessThan">
      <formula>0</formula>
    </cfRule>
    <cfRule type="cellIs" dxfId="6" priority="6" operator="greaterThan">
      <formula>0</formula>
    </cfRule>
  </conditionalFormatting>
  <conditionalFormatting sqref="X3:X38">
    <cfRule type="cellIs" dxfId="4" priority="7" operator="equal">
      <formula>"P"</formula>
    </cfRule>
    <cfRule type="cellIs" dxfId="5" priority="8" operator="equal">
      <formula>"L"</formula>
    </cfRule>
  </conditionalFormatting>
  <conditionalFormatting sqref="Y1:Y38">
    <cfRule type="containsText" dxfId="1" priority="1" operator="containsText" text="Plan to Exit">
      <formula>NOT(ISERROR(SEARCH(("Plan to Exit"),(Y1))))</formula>
    </cfRule>
    <cfRule type="containsText" dxfId="0" priority="2" operator="containsText" text="Wait">
      <formula>NOT(ISERROR(SEARCH(("Wait"),(Y1))))</formula>
    </cfRule>
    <cfRule type="containsText" dxfId="3" priority="3" operator="containsText" text="No Action">
      <formula>NOT(ISERROR(SEARCH(("No Action"),(Y1))))</formula>
    </cfRule>
    <cfRule type="containsText" dxfId="2" priority="4" operator="containsText" text="EXIT Immediately">
      <formula>NOT(ISERROR(SEARCH(("EXIT Immediately"),(Y1))))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transactions report</vt:lpstr>
      <vt:lpstr>FNO transactions report</vt:lpstr>
      <vt:lpstr>FORMAT for Report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2026-04-23T14:26:54Z</dcterms:modified>
</cp:coreProperties>
</file>